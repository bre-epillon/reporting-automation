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rentsreinsurance.sharepoint.com/sites/ActuarialRisk/Shared Documents/General/SII SF/Pillar 1 Inputs and Documentation/2025/2025Q4/"/>
    </mc:Choice>
  </mc:AlternateContent>
  <xr:revisionPtr revIDLastSave="801" documentId="8_{3D423B22-2895-4761-AF03-A5F45255EA2F}" xr6:coauthVersionLast="47" xr6:coauthVersionMax="47" xr10:uidLastSave="{90849C0B-9960-4167-B582-8A3B41901C27}"/>
  <bookViews>
    <workbookView xWindow="-108" yWindow="-108" windowWidth="30936" windowHeight="16776" tabRatio="921" activeTab="10" xr2:uid="{78D65D9E-32FC-4ACE-A473-9972649B95C5}"/>
  </bookViews>
  <sheets>
    <sheet name="Annual 2023 SCR" sheetId="9" r:id="rId1"/>
    <sheet name="Q1 2024 SCR" sheetId="8" r:id="rId2"/>
    <sheet name="Q2 2024 SCR" sheetId="7" r:id="rId3"/>
    <sheet name="Q3 2024 SCR" sheetId="6" r:id="rId4"/>
    <sheet name="Q4 2024 SCR" sheetId="5" r:id="rId5"/>
    <sheet name="Annual 2024 SCR" sheetId="4" r:id="rId6"/>
    <sheet name="Q1 2025 SCR" sheetId="3" r:id="rId7"/>
    <sheet name="Q2 2025 SCR" sheetId="1" r:id="rId8"/>
    <sheet name="Q3 2025 SCR" sheetId="11" r:id="rId9"/>
    <sheet name="Q4 2025 SCR" sheetId="12" r:id="rId10"/>
    <sheet name="Table" sheetId="10" r:id="rId11"/>
    <sheet name="Delta changes" sheetId="2" state="hidden" r:id="rId12"/>
  </sheets>
  <definedNames>
    <definedName name="_xlchart.v1.0" hidden="1">'Q1 2024 SCR'!$B$64:$B$73</definedName>
    <definedName name="_xlchart.v1.1" hidden="1">'Q1 2024 SCR'!$C$64:$C$73</definedName>
    <definedName name="_xlchart.v1.10" hidden="1">'Q1 2025 SCR'!$B$64:$B$73</definedName>
    <definedName name="_xlchart.v1.11" hidden="1">'Q1 2025 SCR'!$C$64:$C$73</definedName>
    <definedName name="_xlchart.v1.12" hidden="1">'Q2 2025 SCR'!$B$64:$B$73</definedName>
    <definedName name="_xlchart.v1.13" hidden="1">'Q2 2025 SCR'!$C$64:$C$73</definedName>
    <definedName name="_xlchart.v1.14" hidden="1">'Delta changes'!$A$17:$A$22</definedName>
    <definedName name="_xlchart.v1.15" hidden="1">'Delta changes'!$B$17:$B$22</definedName>
    <definedName name="_xlchart.v1.2" hidden="1">'Q2 2024 SCR'!$B$64:$B$73</definedName>
    <definedName name="_xlchart.v1.3" hidden="1">'Q2 2024 SCR'!$C$64:$C$73</definedName>
    <definedName name="_xlchart.v1.4" hidden="1">'Q3 2024 SCR'!$B$64:$B$73</definedName>
    <definedName name="_xlchart.v1.5" hidden="1">'Q3 2024 SCR'!$C$64:$C$73</definedName>
    <definedName name="_xlchart.v1.6" hidden="1">'Q4 2024 SCR'!$B$64:$B$73</definedName>
    <definedName name="_xlchart.v1.7" hidden="1">'Q4 2024 SCR'!$C$64:$C$73</definedName>
    <definedName name="_xlchart.v1.8" hidden="1">'Annual 2024 SCR'!$B$64:$B$73</definedName>
    <definedName name="_xlchart.v1.9" hidden="1">'Annual 2024 SCR'!$C$64:$C$73</definedName>
  </definedNames>
  <calcPr calcId="191029" iterateCount="0" iterateDelta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4" i="12" l="1"/>
  <c r="C65" i="12"/>
  <c r="C66" i="12"/>
  <c r="C67" i="12"/>
  <c r="C68" i="12"/>
  <c r="C69" i="12"/>
  <c r="C70" i="12"/>
  <c r="C71" i="12"/>
  <c r="C72" i="12"/>
  <c r="C73" i="12"/>
  <c r="L42" i="10" a="1"/>
  <c r="L42" i="10"/>
  <c r="L41" i="10" a="1"/>
  <c r="L41" i="10"/>
  <c r="L40" i="10" a="1"/>
  <c r="L40" i="10"/>
  <c r="L39" i="10" a="1"/>
  <c r="L39" i="10"/>
  <c r="L38" i="10" a="1"/>
  <c r="L38" i="10"/>
  <c r="L37" i="10" a="1"/>
  <c r="L37" i="10"/>
  <c r="L13" i="10" a="1"/>
  <c r="L13" i="10"/>
  <c r="L36" i="10"/>
  <c r="L25" i="10" a="1"/>
  <c r="L25" i="10"/>
  <c r="L35" i="10"/>
  <c r="L17" i="10" a="1"/>
  <c r="L17" i="10"/>
  <c r="L34" i="10"/>
  <c r="L10" i="10" a="1"/>
  <c r="L10" i="10"/>
  <c r="L33" i="10"/>
  <c r="L3" i="10" a="1"/>
  <c r="L3" i="10"/>
  <c r="L32" i="10"/>
  <c r="L31" i="10"/>
  <c r="L27" i="10" a="1"/>
  <c r="L27" i="10"/>
  <c r="L26" i="10" a="1"/>
  <c r="L26" i="10"/>
  <c r="L24" i="10" a="1"/>
  <c r="L24" i="10"/>
  <c r="L23" i="10" a="1"/>
  <c r="L23" i="10"/>
  <c r="L22" i="10" a="1"/>
  <c r="L22" i="10"/>
  <c r="L21" i="10" a="1"/>
  <c r="L21" i="10"/>
  <c r="L20" i="10" a="1"/>
  <c r="L20" i="10"/>
  <c r="L19" i="10" a="1"/>
  <c r="L19" i="10"/>
  <c r="L18" i="10" a="1"/>
  <c r="L18" i="10"/>
  <c r="L16" i="10" a="1"/>
  <c r="L16" i="10"/>
  <c r="L15" i="10" a="1"/>
  <c r="L15" i="10"/>
  <c r="L14" i="10" a="1"/>
  <c r="L14" i="10"/>
  <c r="L12" i="10" a="1"/>
  <c r="L12" i="10"/>
  <c r="L11" i="10" a="1"/>
  <c r="L11" i="10"/>
  <c r="L9" i="10" a="1"/>
  <c r="L9" i="10"/>
  <c r="L8" i="10" a="1"/>
  <c r="L8" i="10"/>
  <c r="L7" i="10" a="1"/>
  <c r="L7" i="10"/>
  <c r="L6" i="10" a="1"/>
  <c r="L6" i="10"/>
  <c r="L5" i="10" a="1"/>
  <c r="L5" i="10"/>
  <c r="L4" i="10" a="1"/>
  <c r="L4" i="10"/>
  <c r="K31" i="10"/>
  <c r="K42" i="10" a="1"/>
  <c r="K42" i="10"/>
  <c r="K41" i="10" a="1"/>
  <c r="K41" i="10"/>
  <c r="K40" i="10" a="1"/>
  <c r="K40" i="10"/>
  <c r="K39" i="10" a="1"/>
  <c r="K39" i="10"/>
  <c r="K38" i="10" a="1"/>
  <c r="K38" i="10"/>
  <c r="K37" i="10" a="1"/>
  <c r="K37" i="10"/>
  <c r="K13" i="10" a="1"/>
  <c r="K13" i="10"/>
  <c r="K36" i="10"/>
  <c r="K25" i="10" a="1"/>
  <c r="K25" i="10"/>
  <c r="K35" i="10"/>
  <c r="K17" i="10" a="1"/>
  <c r="K17" i="10"/>
  <c r="K34" i="10"/>
  <c r="K10" i="10" a="1"/>
  <c r="K10" i="10"/>
  <c r="K33" i="10"/>
  <c r="K3" i="10" a="1"/>
  <c r="K3" i="10"/>
  <c r="K32" i="10"/>
  <c r="K27" i="10" a="1"/>
  <c r="K27" i="10"/>
  <c r="K26" i="10" a="1"/>
  <c r="K26" i="10"/>
  <c r="K24" i="10" a="1"/>
  <c r="K24" i="10"/>
  <c r="K23" i="10" a="1"/>
  <c r="K23" i="10"/>
  <c r="K22" i="10" a="1"/>
  <c r="K22" i="10"/>
  <c r="K21" i="10" a="1"/>
  <c r="K21" i="10"/>
  <c r="K20" i="10" a="1"/>
  <c r="K20" i="10"/>
  <c r="K19" i="10" a="1"/>
  <c r="K19" i="10"/>
  <c r="K18" i="10" a="1"/>
  <c r="K18" i="10"/>
  <c r="K16" i="10" a="1"/>
  <c r="K16" i="10"/>
  <c r="K15" i="10" a="1"/>
  <c r="K15" i="10"/>
  <c r="K14" i="10" a="1"/>
  <c r="K14" i="10"/>
  <c r="K12" i="10" a="1"/>
  <c r="K12" i="10"/>
  <c r="K11" i="10" a="1"/>
  <c r="K11" i="10"/>
  <c r="K9" i="10" a="1"/>
  <c r="K9" i="10"/>
  <c r="K8" i="10" a="1"/>
  <c r="K8" i="10"/>
  <c r="K7" i="10" a="1"/>
  <c r="K7" i="10"/>
  <c r="K6" i="10" a="1"/>
  <c r="K6" i="10"/>
  <c r="K5" i="10" a="1"/>
  <c r="K5" i="10"/>
  <c r="K4" i="10" a="1"/>
  <c r="K4" i="10"/>
  <c r="C51" i="11"/>
  <c r="C64" i="11"/>
  <c r="D41" i="11"/>
  <c r="E41" i="11"/>
  <c r="C65" i="11"/>
  <c r="D42" i="11"/>
  <c r="E42" i="11"/>
  <c r="C66" i="11"/>
  <c r="D43" i="11"/>
  <c r="E43" i="11"/>
  <c r="C67" i="11"/>
  <c r="D44" i="11"/>
  <c r="E44" i="11"/>
  <c r="C68" i="11"/>
  <c r="D45" i="11"/>
  <c r="E45" i="11"/>
  <c r="C69" i="11"/>
  <c r="E46" i="11"/>
  <c r="C70" i="11"/>
  <c r="E49" i="11"/>
  <c r="C71" i="11"/>
  <c r="E50" i="11"/>
  <c r="C72" i="11"/>
  <c r="C73" i="11"/>
  <c r="D51" i="11"/>
  <c r="D55" i="11"/>
  <c r="C55" i="11"/>
  <c r="E55" i="11"/>
  <c r="E53" i="11"/>
  <c r="E51" i="11"/>
  <c r="D22" i="11"/>
  <c r="D32" i="11"/>
  <c r="D40" i="11"/>
  <c r="E35" i="11"/>
  <c r="E34" i="11"/>
  <c r="E33" i="11"/>
  <c r="E30" i="11"/>
  <c r="E29" i="11"/>
  <c r="E28" i="11"/>
  <c r="E27" i="11"/>
  <c r="E26" i="11"/>
  <c r="E25" i="11"/>
  <c r="E24" i="11"/>
  <c r="E23" i="11"/>
  <c r="E20" i="11"/>
  <c r="E19" i="11"/>
  <c r="E18" i="11"/>
  <c r="E17" i="11"/>
  <c r="D11" i="11"/>
  <c r="D16" i="11"/>
  <c r="E14" i="11"/>
  <c r="E13" i="11"/>
  <c r="E12" i="11"/>
  <c r="E9" i="11"/>
  <c r="E8" i="11"/>
  <c r="E7" i="11"/>
  <c r="E6" i="11"/>
  <c r="E5" i="11"/>
  <c r="E4" i="11"/>
  <c r="E3" i="11"/>
  <c r="J37" i="10" a="1"/>
  <c r="J38" i="10" a="1"/>
  <c r="J39" i="10" a="1"/>
  <c r="J40" i="10" a="1"/>
  <c r="J41" i="10" a="1"/>
  <c r="J42" i="10" a="1"/>
  <c r="D37" i="10" a="1"/>
  <c r="D38" i="10" a="1"/>
  <c r="D39" i="10" a="1"/>
  <c r="D40" i="10" a="1"/>
  <c r="D41" i="10" a="1"/>
  <c r="D42" i="10" a="1"/>
  <c r="E37" i="10" a="1"/>
  <c r="E38" i="10" a="1"/>
  <c r="E39" i="10" a="1"/>
  <c r="E40" i="10" a="1"/>
  <c r="E41" i="10" a="1"/>
  <c r="E42" i="10" a="1"/>
  <c r="F37" i="10" a="1"/>
  <c r="F38" i="10" a="1"/>
  <c r="F39" i="10" a="1"/>
  <c r="F40" i="10" a="1"/>
  <c r="F41" i="10" a="1"/>
  <c r="F42" i="10" a="1"/>
  <c r="G37" i="10" a="1"/>
  <c r="G38" i="10" a="1"/>
  <c r="G39" i="10" a="1"/>
  <c r="G40" i="10" a="1"/>
  <c r="G41" i="10" a="1"/>
  <c r="G42" i="10" a="1"/>
  <c r="H37" i="10" a="1"/>
  <c r="H38" i="10" a="1"/>
  <c r="H39" i="10" a="1"/>
  <c r="H40" i="10" a="1"/>
  <c r="H41" i="10" a="1"/>
  <c r="H42" i="10" a="1"/>
  <c r="I37" i="10" a="1"/>
  <c r="I42" i="10" a="1"/>
  <c r="I38" i="10" a="1"/>
  <c r="I39" i="10" a="1"/>
  <c r="I40" i="10" a="1"/>
  <c r="I41" i="10" a="1"/>
  <c r="C42" i="10" a="1"/>
  <c r="C41" i="10" a="1"/>
  <c r="C40" i="10" a="1"/>
  <c r="C39" i="10" a="1"/>
  <c r="C38" i="10" a="1"/>
  <c r="C37" i="10" a="1"/>
  <c r="G10" i="10" a="1"/>
  <c r="G11" i="10" a="1"/>
  <c r="G12" i="10" a="1"/>
  <c r="G13" i="10" a="1"/>
  <c r="G14" i="10" a="1"/>
  <c r="G15" i="10" a="1"/>
  <c r="G16" i="10" a="1"/>
  <c r="G17" i="10" a="1"/>
  <c r="G18" i="10" a="1"/>
  <c r="G19" i="10" a="1"/>
  <c r="G20" i="10" a="1"/>
  <c r="G21" i="10" a="1"/>
  <c r="G22" i="10" a="1"/>
  <c r="G23" i="10" a="1"/>
  <c r="G24" i="10" a="1"/>
  <c r="G25" i="10" a="1"/>
  <c r="G26" i="10" a="1"/>
  <c r="G27" i="10" a="1"/>
  <c r="H10" i="10" a="1"/>
  <c r="H11" i="10" a="1"/>
  <c r="H12" i="10" a="1"/>
  <c r="H13" i="10" a="1"/>
  <c r="H14" i="10" a="1"/>
  <c r="H15" i="10" a="1"/>
  <c r="H16" i="10" a="1"/>
  <c r="H17" i="10" a="1"/>
  <c r="H18" i="10" a="1"/>
  <c r="H19" i="10" a="1"/>
  <c r="H20" i="10" a="1"/>
  <c r="H21" i="10" a="1"/>
  <c r="H22" i="10" a="1"/>
  <c r="H23" i="10" a="1"/>
  <c r="H24" i="10" a="1"/>
  <c r="H25" i="10" a="1"/>
  <c r="H26" i="10" a="1"/>
  <c r="H27" i="10" a="1"/>
  <c r="I10" i="10" a="1"/>
  <c r="I11" i="10" a="1"/>
  <c r="I12" i="10" a="1"/>
  <c r="I13" i="10" a="1"/>
  <c r="I14" i="10" a="1"/>
  <c r="I15" i="10" a="1"/>
  <c r="I16" i="10" a="1"/>
  <c r="I17" i="10" a="1"/>
  <c r="I18" i="10" a="1"/>
  <c r="I19" i="10" a="1"/>
  <c r="F10" i="10" a="1"/>
  <c r="E12" i="10" a="1"/>
  <c r="D14" i="10" a="1"/>
  <c r="J15" i="10" a="1"/>
  <c r="F17" i="10" a="1"/>
  <c r="E19" i="10" a="1"/>
  <c r="F22" i="10" a="1"/>
  <c r="D24" i="10" a="1"/>
  <c r="I25" i="10" a="1"/>
  <c r="D21" i="10" a="1"/>
  <c r="I22" i="10" a="1"/>
  <c r="E27" i="10" a="1"/>
  <c r="J10" i="10" a="1"/>
  <c r="F12" i="10" a="1"/>
  <c r="E14" i="10" a="1"/>
  <c r="D16" i="10" a="1"/>
  <c r="J17" i="10" a="1"/>
  <c r="F19" i="10" a="1"/>
  <c r="E24" i="10" a="1"/>
  <c r="J25" i="10" a="1"/>
  <c r="E21" i="10" a="1"/>
  <c r="J22" i="10" a="1"/>
  <c r="F27" i="10" a="1"/>
  <c r="D11" i="10" a="1"/>
  <c r="J12" i="10" a="1"/>
  <c r="F14" i="10" a="1"/>
  <c r="E16" i="10" a="1"/>
  <c r="D18" i="10" a="1"/>
  <c r="J19" i="10" a="1"/>
  <c r="F24" i="10" a="1"/>
  <c r="D26" i="10" a="1"/>
  <c r="I27" i="10" a="1"/>
  <c r="F21" i="10" a="1"/>
  <c r="D23" i="10" a="1"/>
  <c r="I24" i="10" a="1"/>
  <c r="E11" i="10" a="1"/>
  <c r="D13" i="10" a="1"/>
  <c r="J14" i="10" a="1"/>
  <c r="F16" i="10" a="1"/>
  <c r="E18" i="10" a="1"/>
  <c r="D20" i="10" a="1"/>
  <c r="I21" i="10" a="1"/>
  <c r="E26" i="10" a="1"/>
  <c r="J27" i="10" a="1"/>
  <c r="E23" i="10" a="1"/>
  <c r="J24" i="10" a="1"/>
  <c r="F11" i="10" a="1"/>
  <c r="E13" i="10" a="1"/>
  <c r="D15" i="10" a="1"/>
  <c r="J16" i="10" a="1"/>
  <c r="F18" i="10" a="1"/>
  <c r="E20" i="10" a="1"/>
  <c r="J21" i="10" a="1"/>
  <c r="F26" i="10" a="1"/>
  <c r="D12" i="10" a="1"/>
  <c r="J18" i="10" a="1"/>
  <c r="F23" i="10" a="1"/>
  <c r="D27" i="10" a="1"/>
  <c r="F25" i="10" a="1"/>
  <c r="D17" i="10" a="1"/>
  <c r="I26" i="10" a="1"/>
  <c r="J11" i="10" a="1"/>
  <c r="E22" i="10" a="1"/>
  <c r="I23" i="10" a="1"/>
  <c r="D19" i="10" a="1"/>
  <c r="J23" i="10" a="1"/>
  <c r="J13" i="10" a="1"/>
  <c r="F20" i="10" a="1"/>
  <c r="D25" i="10" a="1"/>
  <c r="E15" i="10" a="1"/>
  <c r="I20" i="10" a="1"/>
  <c r="E25" i="10" a="1"/>
  <c r="D10" i="10" a="1"/>
  <c r="F15" i="10" a="1"/>
  <c r="J20" i="10" a="1"/>
  <c r="E10" i="10" a="1"/>
  <c r="D22" i="10" a="1"/>
  <c r="E17" i="10" a="1"/>
  <c r="J26" i="10" a="1"/>
  <c r="F13" i="10" a="1"/>
  <c r="C27" i="10" a="1"/>
  <c r="C26" i="10" a="1"/>
  <c r="C25" i="10" a="1"/>
  <c r="C24" i="10" a="1"/>
  <c r="C23" i="10" a="1"/>
  <c r="C22" i="10" a="1"/>
  <c r="C21" i="10" a="1"/>
  <c r="C20" i="10" a="1"/>
  <c r="C19" i="10" a="1"/>
  <c r="C18" i="10" a="1"/>
  <c r="C17" i="10" a="1"/>
  <c r="C16" i="10" a="1"/>
  <c r="C15" i="10" a="1"/>
  <c r="C14" i="10" a="1"/>
  <c r="C13" i="10" a="1"/>
  <c r="C12" i="10" a="1"/>
  <c r="C11" i="10" a="1"/>
  <c r="C10" i="10" a="1"/>
  <c r="D3" i="10" a="1"/>
  <c r="D4" i="10" a="1"/>
  <c r="D5" i="10" a="1"/>
  <c r="D6" i="10" a="1"/>
  <c r="D7" i="10" a="1"/>
  <c r="D8" i="10" a="1"/>
  <c r="D9" i="10" a="1"/>
  <c r="E3" i="10" a="1"/>
  <c r="E4" i="10" a="1"/>
  <c r="E5" i="10" a="1"/>
  <c r="E6" i="10" a="1"/>
  <c r="E7" i="10" a="1"/>
  <c r="E8" i="10" a="1"/>
  <c r="E9" i="10" a="1"/>
  <c r="F3" i="10" a="1"/>
  <c r="F4" i="10" a="1"/>
  <c r="F5" i="10" a="1"/>
  <c r="F6" i="10" a="1"/>
  <c r="F7" i="10" a="1"/>
  <c r="F8" i="10" a="1"/>
  <c r="F9" i="10" a="1"/>
  <c r="G3" i="10" a="1"/>
  <c r="G4" i="10" a="1"/>
  <c r="G5" i="10" a="1"/>
  <c r="G6" i="10" a="1"/>
  <c r="G7" i="10" a="1"/>
  <c r="G8" i="10" a="1"/>
  <c r="G9" i="10" a="1"/>
  <c r="H3" i="10" a="1"/>
  <c r="H4" i="10" a="1"/>
  <c r="H5" i="10" a="1"/>
  <c r="H6" i="10" a="1"/>
  <c r="H7" i="10" a="1"/>
  <c r="H8" i="10" a="1"/>
  <c r="H9" i="10" a="1"/>
  <c r="I3" i="10" a="1"/>
  <c r="I4" i="10" a="1"/>
  <c r="I5" i="10" a="1"/>
  <c r="I6" i="10" a="1"/>
  <c r="I7" i="10" a="1"/>
  <c r="I8" i="10" a="1"/>
  <c r="I9" i="10" a="1"/>
  <c r="J3" i="10" a="1"/>
  <c r="J4" i="10" a="1"/>
  <c r="J5" i="10" a="1"/>
  <c r="J6" i="10" a="1"/>
  <c r="J7" i="10" a="1"/>
  <c r="J8" i="10" a="1"/>
  <c r="J9" i="10" a="1"/>
  <c r="C3" i="10" a="1"/>
  <c r="C9" i="10" a="1"/>
  <c r="C8" i="10" a="1"/>
  <c r="C7" i="10" a="1"/>
  <c r="C6" i="10" a="1"/>
  <c r="C5" i="10" a="1"/>
  <c r="C4" i="10" a="1"/>
  <c r="I41" i="10"/>
  <c r="I40" i="10"/>
  <c r="I39" i="10"/>
  <c r="I38" i="10"/>
  <c r="I42" i="10"/>
  <c r="I37" i="10"/>
  <c r="H42" i="10"/>
  <c r="H41" i="10"/>
  <c r="H40" i="10"/>
  <c r="H39" i="10"/>
  <c r="H38" i="10"/>
  <c r="H37" i="10"/>
  <c r="G42" i="10"/>
  <c r="G41" i="10"/>
  <c r="G40" i="10"/>
  <c r="G39" i="10"/>
  <c r="G38" i="10"/>
  <c r="G37" i="10"/>
  <c r="F42" i="10"/>
  <c r="F41" i="10"/>
  <c r="F40" i="10"/>
  <c r="F39" i="10"/>
  <c r="F38" i="10"/>
  <c r="F37" i="10"/>
  <c r="E42" i="10"/>
  <c r="E41" i="10"/>
  <c r="E40" i="10"/>
  <c r="E39" i="10"/>
  <c r="E38" i="10"/>
  <c r="E37" i="10"/>
  <c r="D42" i="10"/>
  <c r="D41" i="10"/>
  <c r="D40" i="10"/>
  <c r="D39" i="10"/>
  <c r="D38" i="10"/>
  <c r="D37" i="10"/>
  <c r="J42" i="10"/>
  <c r="J41" i="10"/>
  <c r="J40" i="10"/>
  <c r="J39" i="10"/>
  <c r="J38" i="10"/>
  <c r="J37" i="10"/>
  <c r="C42" i="10"/>
  <c r="C41" i="10"/>
  <c r="C40" i="10"/>
  <c r="C39" i="10"/>
  <c r="C38" i="10"/>
  <c r="C37" i="10"/>
  <c r="F13" i="10"/>
  <c r="F36" i="10"/>
  <c r="J26" i="10"/>
  <c r="E17" i="10"/>
  <c r="E34" i="10"/>
  <c r="D22" i="10"/>
  <c r="E10" i="10"/>
  <c r="E33" i="10"/>
  <c r="J20" i="10"/>
  <c r="F15" i="10"/>
  <c r="D10" i="10"/>
  <c r="D33" i="10"/>
  <c r="E25" i="10"/>
  <c r="E35" i="10"/>
  <c r="I20" i="10"/>
  <c r="E15" i="10"/>
  <c r="D25" i="10"/>
  <c r="D35" i="10"/>
  <c r="F20" i="10"/>
  <c r="J13" i="10"/>
  <c r="J36" i="10"/>
  <c r="J23" i="10"/>
  <c r="D19" i="10"/>
  <c r="I23" i="10"/>
  <c r="E22" i="10"/>
  <c r="J11" i="10"/>
  <c r="I26" i="10"/>
  <c r="D17" i="10"/>
  <c r="D34" i="10"/>
  <c r="F25" i="10"/>
  <c r="F35" i="10"/>
  <c r="D27" i="10"/>
  <c r="F23" i="10"/>
  <c r="J18" i="10"/>
  <c r="D12" i="10"/>
  <c r="F26" i="10"/>
  <c r="J21" i="10"/>
  <c r="E20" i="10"/>
  <c r="F18" i="10"/>
  <c r="J16" i="10"/>
  <c r="D15" i="10"/>
  <c r="E13" i="10"/>
  <c r="E36" i="10"/>
  <c r="F11" i="10"/>
  <c r="J24" i="10"/>
  <c r="E23" i="10"/>
  <c r="J27" i="10"/>
  <c r="E26" i="10"/>
  <c r="I21" i="10"/>
  <c r="D20" i="10"/>
  <c r="E18" i="10"/>
  <c r="F16" i="10"/>
  <c r="J14" i="10"/>
  <c r="D13" i="10"/>
  <c r="D36" i="10"/>
  <c r="E11" i="10"/>
  <c r="I24" i="10"/>
  <c r="D23" i="10"/>
  <c r="F21" i="10"/>
  <c r="I27" i="10"/>
  <c r="D26" i="10"/>
  <c r="F24" i="10"/>
  <c r="J19" i="10"/>
  <c r="D18" i="10"/>
  <c r="E16" i="10"/>
  <c r="F14" i="10"/>
  <c r="J12" i="10"/>
  <c r="D11" i="10"/>
  <c r="F27" i="10"/>
  <c r="J22" i="10"/>
  <c r="E21" i="10"/>
  <c r="J25" i="10"/>
  <c r="J35" i="10"/>
  <c r="E24" i="10"/>
  <c r="F19" i="10"/>
  <c r="J17" i="10"/>
  <c r="J34" i="10"/>
  <c r="D16" i="10"/>
  <c r="E14" i="10"/>
  <c r="F12" i="10"/>
  <c r="J10" i="10"/>
  <c r="J33" i="10"/>
  <c r="E27" i="10"/>
  <c r="I22" i="10"/>
  <c r="D21" i="10"/>
  <c r="I25" i="10"/>
  <c r="I35" i="10"/>
  <c r="D24" i="10"/>
  <c r="F22" i="10"/>
  <c r="E19" i="10"/>
  <c r="F17" i="10"/>
  <c r="F34" i="10"/>
  <c r="J15" i="10"/>
  <c r="D14" i="10"/>
  <c r="E12" i="10"/>
  <c r="F10" i="10"/>
  <c r="F33" i="10"/>
  <c r="I19" i="10"/>
  <c r="I18" i="10"/>
  <c r="I17" i="10"/>
  <c r="I34" i="10"/>
  <c r="I16" i="10"/>
  <c r="I15" i="10"/>
  <c r="I14" i="10"/>
  <c r="I13" i="10"/>
  <c r="I36" i="10"/>
  <c r="I12" i="10"/>
  <c r="I11" i="10"/>
  <c r="I10" i="10"/>
  <c r="I33" i="10"/>
  <c r="H27" i="10"/>
  <c r="H26" i="10"/>
  <c r="H25" i="10"/>
  <c r="H35" i="10"/>
  <c r="H24" i="10"/>
  <c r="H23" i="10"/>
  <c r="H22" i="10"/>
  <c r="H21" i="10"/>
  <c r="H20" i="10"/>
  <c r="H19" i="10"/>
  <c r="H18" i="10"/>
  <c r="H17" i="10"/>
  <c r="H34" i="10"/>
  <c r="H16" i="10"/>
  <c r="H15" i="10"/>
  <c r="H14" i="10"/>
  <c r="H13" i="10"/>
  <c r="H36" i="10"/>
  <c r="H12" i="10"/>
  <c r="H11" i="10"/>
  <c r="H10" i="10"/>
  <c r="H33" i="10"/>
  <c r="G27" i="10"/>
  <c r="G26" i="10"/>
  <c r="G25" i="10"/>
  <c r="G35" i="10"/>
  <c r="G24" i="10"/>
  <c r="G23" i="10"/>
  <c r="G22" i="10"/>
  <c r="G21" i="10"/>
  <c r="G20" i="10"/>
  <c r="G19" i="10"/>
  <c r="G18" i="10"/>
  <c r="G17" i="10"/>
  <c r="G34" i="10"/>
  <c r="G16" i="10"/>
  <c r="G15" i="10"/>
  <c r="G14" i="10"/>
  <c r="G13" i="10"/>
  <c r="G36" i="10"/>
  <c r="G12" i="10"/>
  <c r="G11" i="10"/>
  <c r="G10" i="10"/>
  <c r="G33" i="10"/>
  <c r="C27" i="10"/>
  <c r="C26" i="10"/>
  <c r="C25" i="10"/>
  <c r="C35" i="10"/>
  <c r="C24" i="10"/>
  <c r="C23" i="10"/>
  <c r="C22" i="10"/>
  <c r="C21" i="10"/>
  <c r="C20" i="10"/>
  <c r="C19" i="10"/>
  <c r="C18" i="10"/>
  <c r="C17" i="10"/>
  <c r="C34" i="10"/>
  <c r="C16" i="10"/>
  <c r="C15" i="10"/>
  <c r="C14" i="10"/>
  <c r="C13" i="10"/>
  <c r="C36" i="10"/>
  <c r="C12" i="10"/>
  <c r="C11" i="10"/>
  <c r="C10" i="10"/>
  <c r="C33" i="10"/>
  <c r="J9" i="10"/>
  <c r="J8" i="10"/>
  <c r="J7" i="10"/>
  <c r="J6" i="10"/>
  <c r="J5" i="10"/>
  <c r="J4" i="10"/>
  <c r="J3" i="10"/>
  <c r="J32" i="10"/>
  <c r="I9" i="10"/>
  <c r="I8" i="10"/>
  <c r="I7" i="10"/>
  <c r="I6" i="10"/>
  <c r="I5" i="10"/>
  <c r="I4" i="10"/>
  <c r="I3" i="10"/>
  <c r="I32" i="10"/>
  <c r="H9" i="10"/>
  <c r="H8" i="10"/>
  <c r="H7" i="10"/>
  <c r="H6" i="10"/>
  <c r="H5" i="10"/>
  <c r="H4" i="10"/>
  <c r="H3" i="10"/>
  <c r="H32" i="10"/>
  <c r="G9" i="10"/>
  <c r="G8" i="10"/>
  <c r="G7" i="10"/>
  <c r="G6" i="10"/>
  <c r="G5" i="10"/>
  <c r="G4" i="10"/>
  <c r="G3" i="10"/>
  <c r="G32" i="10"/>
  <c r="F9" i="10"/>
  <c r="F8" i="10"/>
  <c r="F7" i="10"/>
  <c r="F6" i="10"/>
  <c r="F5" i="10"/>
  <c r="F4" i="10"/>
  <c r="F3" i="10"/>
  <c r="F32" i="10"/>
  <c r="E9" i="10"/>
  <c r="E8" i="10"/>
  <c r="E7" i="10"/>
  <c r="E6" i="10"/>
  <c r="E5" i="10"/>
  <c r="E4" i="10"/>
  <c r="E3" i="10"/>
  <c r="E32" i="10"/>
  <c r="D9" i="10"/>
  <c r="D8" i="10"/>
  <c r="D7" i="10"/>
  <c r="D6" i="10"/>
  <c r="D5" i="10"/>
  <c r="D4" i="10"/>
  <c r="D3" i="10"/>
  <c r="D32" i="10"/>
  <c r="C3" i="10"/>
  <c r="C32" i="10"/>
  <c r="C9" i="10"/>
  <c r="C8" i="10"/>
  <c r="C7" i="10"/>
  <c r="C6" i="10"/>
  <c r="C5" i="10"/>
  <c r="C4" i="10"/>
  <c r="C53" i="1"/>
  <c r="C55" i="1"/>
  <c r="B17" i="2"/>
  <c r="C51" i="1"/>
  <c r="C50" i="1"/>
  <c r="C49" i="1"/>
  <c r="C46" i="1"/>
  <c r="C45" i="1"/>
  <c r="C44" i="1"/>
  <c r="C43" i="1"/>
  <c r="C42" i="1"/>
  <c r="C41" i="1"/>
  <c r="C35" i="1"/>
  <c r="C34" i="1"/>
  <c r="C33" i="1"/>
  <c r="C30" i="1"/>
  <c r="C29" i="1"/>
  <c r="C28" i="1"/>
  <c r="C27" i="1"/>
  <c r="C26" i="1"/>
  <c r="C25" i="1"/>
  <c r="C24" i="1"/>
  <c r="C23" i="1"/>
  <c r="C20" i="1"/>
  <c r="C19" i="1"/>
  <c r="C18" i="1"/>
  <c r="C17" i="1"/>
  <c r="C14" i="1"/>
  <c r="C13" i="1"/>
  <c r="C12" i="1"/>
  <c r="C9" i="1"/>
  <c r="C8" i="1"/>
  <c r="C7" i="1"/>
  <c r="C6" i="1"/>
  <c r="C5" i="1"/>
  <c r="C4" i="1"/>
  <c r="C3" i="1"/>
  <c r="C64" i="1"/>
  <c r="C11" i="1"/>
  <c r="C16" i="1"/>
  <c r="C22" i="1"/>
  <c r="C32" i="1"/>
  <c r="C40" i="1"/>
  <c r="C53" i="3"/>
  <c r="E53" i="3"/>
  <c r="C51" i="3"/>
  <c r="C50" i="3"/>
  <c r="E50" i="3"/>
  <c r="C72" i="3"/>
  <c r="C49" i="3"/>
  <c r="E49" i="3"/>
  <c r="C71" i="3"/>
  <c r="C46" i="3"/>
  <c r="E46" i="3"/>
  <c r="C45" i="3"/>
  <c r="C44" i="3"/>
  <c r="E44" i="3"/>
  <c r="C68" i="3"/>
  <c r="C43" i="3"/>
  <c r="E43" i="3"/>
  <c r="C67" i="3"/>
  <c r="C42" i="3"/>
  <c r="E42" i="3"/>
  <c r="C41" i="3"/>
  <c r="E41" i="3"/>
  <c r="C65" i="3"/>
  <c r="C35" i="3"/>
  <c r="E35" i="3"/>
  <c r="C34" i="3"/>
  <c r="E34" i="3"/>
  <c r="C33" i="3"/>
  <c r="E33" i="3"/>
  <c r="C30" i="3"/>
  <c r="E30" i="3"/>
  <c r="C29" i="3"/>
  <c r="E29" i="3"/>
  <c r="C28" i="3"/>
  <c r="C27" i="3"/>
  <c r="E27" i="3"/>
  <c r="C26" i="3"/>
  <c r="E26" i="3"/>
  <c r="C25" i="3"/>
  <c r="E25" i="3"/>
  <c r="C24" i="3"/>
  <c r="C23" i="3"/>
  <c r="E23" i="3"/>
  <c r="C20" i="3"/>
  <c r="C19" i="3"/>
  <c r="C18" i="3"/>
  <c r="E18" i="3"/>
  <c r="C17" i="3"/>
  <c r="E17" i="3"/>
  <c r="C14" i="3"/>
  <c r="E14" i="3"/>
  <c r="C13" i="3"/>
  <c r="E13" i="3"/>
  <c r="C12" i="3"/>
  <c r="E12" i="3"/>
  <c r="C9" i="3"/>
  <c r="E9" i="3"/>
  <c r="C8" i="3"/>
  <c r="E8" i="3"/>
  <c r="C7" i="3"/>
  <c r="C6" i="3"/>
  <c r="E6" i="3"/>
  <c r="C5" i="3"/>
  <c r="E5" i="3"/>
  <c r="C4" i="3"/>
  <c r="E4" i="3"/>
  <c r="C3" i="3"/>
  <c r="E28" i="3"/>
  <c r="E24" i="3"/>
  <c r="C11" i="3"/>
  <c r="C16" i="3"/>
  <c r="C22" i="3"/>
  <c r="C32" i="3"/>
  <c r="C40" i="3"/>
  <c r="C53" i="4"/>
  <c r="E53" i="4"/>
  <c r="C50" i="4"/>
  <c r="C49" i="4"/>
  <c r="E49" i="4"/>
  <c r="C71" i="4"/>
  <c r="C46" i="4"/>
  <c r="E46" i="4"/>
  <c r="C45" i="4"/>
  <c r="E45" i="4"/>
  <c r="C69" i="4"/>
  <c r="C44" i="4"/>
  <c r="E44" i="4"/>
  <c r="C68" i="4"/>
  <c r="C43" i="4"/>
  <c r="C42" i="4"/>
  <c r="C41" i="4"/>
  <c r="C35" i="4"/>
  <c r="C34" i="4"/>
  <c r="E34" i="4"/>
  <c r="C33" i="4"/>
  <c r="E33" i="4"/>
  <c r="C30" i="4"/>
  <c r="E30" i="4"/>
  <c r="C29" i="4"/>
  <c r="E29" i="4"/>
  <c r="C28" i="4"/>
  <c r="C27" i="4"/>
  <c r="E27" i="4"/>
  <c r="C26" i="4"/>
  <c r="E26" i="4"/>
  <c r="C25" i="4"/>
  <c r="E25" i="4"/>
  <c r="C24" i="4"/>
  <c r="C23" i="4"/>
  <c r="E23" i="4"/>
  <c r="C20" i="4"/>
  <c r="E20" i="4"/>
  <c r="C19" i="4"/>
  <c r="E19" i="4"/>
  <c r="C18" i="4"/>
  <c r="E18" i="4"/>
  <c r="C17" i="4"/>
  <c r="E17" i="4"/>
  <c r="C14" i="4"/>
  <c r="E14" i="4"/>
  <c r="C13" i="4"/>
  <c r="E13" i="4"/>
  <c r="C12" i="4"/>
  <c r="E12" i="4"/>
  <c r="C9" i="4"/>
  <c r="C8" i="4"/>
  <c r="C7" i="4"/>
  <c r="C6" i="4"/>
  <c r="E6" i="4"/>
  <c r="C5" i="4"/>
  <c r="E5" i="4"/>
  <c r="C4" i="4"/>
  <c r="E4" i="4"/>
  <c r="C3" i="4"/>
  <c r="E50" i="4"/>
  <c r="C72" i="4"/>
  <c r="E43" i="4"/>
  <c r="C67" i="4"/>
  <c r="E42" i="4"/>
  <c r="C66" i="4"/>
  <c r="E41" i="4"/>
  <c r="C65" i="4"/>
  <c r="E35" i="4"/>
  <c r="C11" i="4"/>
  <c r="C16" i="4"/>
  <c r="C22" i="4"/>
  <c r="C32" i="4"/>
  <c r="C40" i="4"/>
  <c r="E3" i="4"/>
  <c r="C53" i="5"/>
  <c r="E53" i="5"/>
  <c r="C50" i="5"/>
  <c r="C49" i="5"/>
  <c r="E49" i="5"/>
  <c r="C71" i="5"/>
  <c r="C46" i="5"/>
  <c r="E46" i="5"/>
  <c r="C45" i="5"/>
  <c r="E45" i="5"/>
  <c r="C69" i="5"/>
  <c r="C44" i="5"/>
  <c r="E44" i="5"/>
  <c r="C68" i="5"/>
  <c r="C43" i="5"/>
  <c r="E43" i="5"/>
  <c r="C67" i="5"/>
  <c r="C42" i="5"/>
  <c r="E42" i="5"/>
  <c r="C66" i="5"/>
  <c r="C41" i="5"/>
  <c r="E41" i="5"/>
  <c r="C65" i="5"/>
  <c r="C35" i="5"/>
  <c r="E35" i="5"/>
  <c r="C34" i="5"/>
  <c r="E34" i="5"/>
  <c r="C33" i="5"/>
  <c r="E33" i="5"/>
  <c r="C30" i="5"/>
  <c r="E30" i="5"/>
  <c r="C29" i="5"/>
  <c r="C28" i="5"/>
  <c r="C27" i="5"/>
  <c r="C26" i="5"/>
  <c r="E26" i="5"/>
  <c r="C25" i="5"/>
  <c r="E25" i="5"/>
  <c r="C24" i="5"/>
  <c r="C23" i="5"/>
  <c r="E23" i="5"/>
  <c r="C20" i="5"/>
  <c r="E20" i="5"/>
  <c r="C19" i="5"/>
  <c r="E19" i="5"/>
  <c r="C18" i="5"/>
  <c r="E18" i="5"/>
  <c r="C17" i="5"/>
  <c r="E17" i="5"/>
  <c r="C14" i="5"/>
  <c r="C13" i="5"/>
  <c r="E13" i="5"/>
  <c r="C12" i="5"/>
  <c r="E12" i="5"/>
  <c r="C9" i="5"/>
  <c r="C8" i="5"/>
  <c r="E8" i="5"/>
  <c r="C7" i="5"/>
  <c r="C6" i="5"/>
  <c r="E6" i="5"/>
  <c r="C5" i="5"/>
  <c r="E5" i="5"/>
  <c r="C4" i="5"/>
  <c r="E4" i="5"/>
  <c r="C3" i="5"/>
  <c r="E3" i="5"/>
  <c r="E50" i="5"/>
  <c r="C72" i="5"/>
  <c r="E29" i="5"/>
  <c r="E14" i="5"/>
  <c r="C11" i="5"/>
  <c r="C16" i="5"/>
  <c r="C22" i="5"/>
  <c r="C32" i="5"/>
  <c r="C40" i="5"/>
  <c r="C53" i="6"/>
  <c r="E53" i="6"/>
  <c r="C50" i="6"/>
  <c r="C49" i="6"/>
  <c r="C46" i="6"/>
  <c r="C45" i="6"/>
  <c r="C44" i="6"/>
  <c r="C43" i="6"/>
  <c r="C42" i="6"/>
  <c r="E42" i="6"/>
  <c r="C66" i="6"/>
  <c r="C41" i="6"/>
  <c r="E41" i="6"/>
  <c r="C65" i="6"/>
  <c r="C35" i="6"/>
  <c r="C34" i="6"/>
  <c r="E34" i="6"/>
  <c r="C33" i="6"/>
  <c r="E33" i="6"/>
  <c r="C30" i="6"/>
  <c r="E30" i="6"/>
  <c r="C29" i="6"/>
  <c r="E29" i="6"/>
  <c r="C28" i="6"/>
  <c r="C27" i="6"/>
  <c r="C26" i="6"/>
  <c r="E26" i="6"/>
  <c r="C25" i="6"/>
  <c r="E25" i="6"/>
  <c r="C24" i="6"/>
  <c r="E24" i="6"/>
  <c r="C23" i="6"/>
  <c r="E23" i="6"/>
  <c r="C20" i="6"/>
  <c r="E20" i="6"/>
  <c r="C19" i="6"/>
  <c r="E19" i="6"/>
  <c r="C18" i="6"/>
  <c r="E18" i="6"/>
  <c r="C17" i="6"/>
  <c r="E17" i="6"/>
  <c r="C14" i="6"/>
  <c r="E14" i="6"/>
  <c r="C13" i="6"/>
  <c r="E13" i="6"/>
  <c r="C12" i="6"/>
  <c r="E12" i="6"/>
  <c r="C9" i="6"/>
  <c r="E9" i="6"/>
  <c r="C8" i="6"/>
  <c r="E8" i="6"/>
  <c r="C7" i="6"/>
  <c r="E7" i="6"/>
  <c r="C6" i="6"/>
  <c r="C5" i="6"/>
  <c r="C4" i="6"/>
  <c r="C3" i="6"/>
  <c r="E3" i="6"/>
  <c r="E50" i="6"/>
  <c r="C72" i="6"/>
  <c r="E49" i="6"/>
  <c r="C71" i="6"/>
  <c r="E43" i="6"/>
  <c r="C67" i="6"/>
  <c r="E28" i="6"/>
  <c r="C11" i="6"/>
  <c r="C16" i="6"/>
  <c r="C22" i="6"/>
  <c r="C32" i="6"/>
  <c r="C40" i="6"/>
  <c r="C53" i="7"/>
  <c r="C50" i="7"/>
  <c r="C49" i="7"/>
  <c r="C46" i="7"/>
  <c r="C45" i="7"/>
  <c r="E45" i="7"/>
  <c r="C69" i="7"/>
  <c r="C44" i="7"/>
  <c r="E44" i="7"/>
  <c r="C68" i="7"/>
  <c r="C43" i="7"/>
  <c r="E43" i="7"/>
  <c r="C67" i="7"/>
  <c r="C42" i="7"/>
  <c r="E42" i="7"/>
  <c r="C66" i="7"/>
  <c r="C41" i="7"/>
  <c r="E41" i="7"/>
  <c r="C65" i="7"/>
  <c r="C35" i="7"/>
  <c r="E35" i="7"/>
  <c r="C34" i="7"/>
  <c r="E34" i="7"/>
  <c r="C33" i="7"/>
  <c r="E33" i="7"/>
  <c r="C30" i="7"/>
  <c r="E30" i="7"/>
  <c r="C29" i="7"/>
  <c r="E29" i="7"/>
  <c r="C28" i="7"/>
  <c r="C27" i="7"/>
  <c r="E27" i="7"/>
  <c r="C26" i="7"/>
  <c r="E26" i="7"/>
  <c r="C25" i="7"/>
  <c r="E25" i="7"/>
  <c r="C24" i="7"/>
  <c r="C23" i="7"/>
  <c r="E23" i="7"/>
  <c r="C20" i="7"/>
  <c r="E20" i="7"/>
  <c r="C19" i="7"/>
  <c r="E19" i="7"/>
  <c r="C18" i="7"/>
  <c r="E18" i="7"/>
  <c r="C17" i="7"/>
  <c r="E17" i="7"/>
  <c r="C14" i="7"/>
  <c r="E14" i="7"/>
  <c r="C13" i="7"/>
  <c r="E13" i="7"/>
  <c r="C12" i="7"/>
  <c r="E12" i="7"/>
  <c r="C9" i="7"/>
  <c r="E9" i="7"/>
  <c r="C8" i="7"/>
  <c r="E8" i="7"/>
  <c r="C7" i="7"/>
  <c r="E7" i="7"/>
  <c r="C6" i="7"/>
  <c r="E6" i="7"/>
  <c r="C5" i="7"/>
  <c r="C4" i="7"/>
  <c r="C3" i="7"/>
  <c r="C11" i="7"/>
  <c r="C16" i="7"/>
  <c r="C22" i="7"/>
  <c r="C32" i="7"/>
  <c r="C40" i="7"/>
  <c r="E5" i="7"/>
  <c r="E4" i="7"/>
  <c r="C53" i="8"/>
  <c r="E53" i="8"/>
  <c r="C50" i="8"/>
  <c r="E50" i="8"/>
  <c r="C72" i="8"/>
  <c r="C49" i="8"/>
  <c r="E49" i="8"/>
  <c r="C71" i="8"/>
  <c r="C42" i="8"/>
  <c r="E42" i="8"/>
  <c r="C66" i="8"/>
  <c r="C43" i="8"/>
  <c r="E43" i="8"/>
  <c r="C67" i="8"/>
  <c r="C44" i="8"/>
  <c r="E44" i="8"/>
  <c r="C68" i="8"/>
  <c r="C45" i="8"/>
  <c r="E45" i="8"/>
  <c r="C69" i="8"/>
  <c r="C46" i="8"/>
  <c r="E46" i="8"/>
  <c r="C41" i="8"/>
  <c r="E41" i="8"/>
  <c r="C65" i="8"/>
  <c r="C35" i="8"/>
  <c r="C34" i="8"/>
  <c r="C33" i="8"/>
  <c r="C30" i="8"/>
  <c r="C29" i="8"/>
  <c r="E29" i="8"/>
  <c r="C28" i="8"/>
  <c r="E28" i="8"/>
  <c r="C27" i="8"/>
  <c r="E27" i="8"/>
  <c r="C26" i="8"/>
  <c r="E26" i="8"/>
  <c r="C25" i="8"/>
  <c r="E25" i="8"/>
  <c r="C24" i="8"/>
  <c r="E24" i="8"/>
  <c r="C23" i="8"/>
  <c r="E23" i="8"/>
  <c r="C20" i="8"/>
  <c r="E20" i="8"/>
  <c r="C19" i="8"/>
  <c r="E19" i="8"/>
  <c r="C18" i="8"/>
  <c r="E18" i="8"/>
  <c r="C17" i="8"/>
  <c r="C14" i="8"/>
  <c r="E14" i="8"/>
  <c r="C13" i="8"/>
  <c r="C12" i="8"/>
  <c r="C4" i="8"/>
  <c r="C5" i="8"/>
  <c r="E5" i="8"/>
  <c r="C6" i="8"/>
  <c r="E6" i="8"/>
  <c r="C7" i="8"/>
  <c r="E7" i="8"/>
  <c r="C8" i="8"/>
  <c r="E8" i="8"/>
  <c r="C9" i="8"/>
  <c r="E9" i="8"/>
  <c r="C3" i="8"/>
  <c r="D51" i="9"/>
  <c r="D55" i="9"/>
  <c r="D11" i="9"/>
  <c r="D16" i="9"/>
  <c r="D22" i="9"/>
  <c r="D32" i="9"/>
  <c r="D40" i="9"/>
  <c r="D51" i="8"/>
  <c r="C51" i="7"/>
  <c r="C64" i="7"/>
  <c r="E35" i="8"/>
  <c r="E34" i="8"/>
  <c r="E33" i="8"/>
  <c r="E30" i="8"/>
  <c r="E17" i="8"/>
  <c r="E13" i="8"/>
  <c r="E12" i="8"/>
  <c r="D11" i="8"/>
  <c r="D16" i="8"/>
  <c r="D22" i="8"/>
  <c r="D32" i="8"/>
  <c r="D40" i="8"/>
  <c r="C11" i="8"/>
  <c r="C16" i="8"/>
  <c r="C22" i="8"/>
  <c r="C32" i="8"/>
  <c r="C40" i="8"/>
  <c r="E4" i="8"/>
  <c r="E3" i="8"/>
  <c r="D51" i="7"/>
  <c r="C51" i="6"/>
  <c r="C64" i="6"/>
  <c r="E50" i="7"/>
  <c r="C72" i="7"/>
  <c r="E49" i="7"/>
  <c r="C71" i="7"/>
  <c r="E46" i="7"/>
  <c r="E28" i="7"/>
  <c r="E24" i="7"/>
  <c r="D11" i="7"/>
  <c r="D16" i="7"/>
  <c r="D22" i="7"/>
  <c r="D32" i="7"/>
  <c r="D40" i="7"/>
  <c r="E3" i="7"/>
  <c r="D51" i="6"/>
  <c r="C51" i="5"/>
  <c r="C64" i="5"/>
  <c r="E46" i="6"/>
  <c r="E45" i="6"/>
  <c r="C69" i="6"/>
  <c r="E44" i="6"/>
  <c r="C68" i="6"/>
  <c r="E35" i="6"/>
  <c r="E27" i="6"/>
  <c r="D11" i="6"/>
  <c r="D16" i="6"/>
  <c r="D22" i="6"/>
  <c r="D32" i="6"/>
  <c r="D40" i="6"/>
  <c r="E6" i="6"/>
  <c r="E5" i="6"/>
  <c r="E4" i="6"/>
  <c r="D51" i="5"/>
  <c r="D55" i="5"/>
  <c r="E28" i="5"/>
  <c r="E27" i="5"/>
  <c r="E24" i="5"/>
  <c r="D11" i="5"/>
  <c r="D16" i="5"/>
  <c r="D22" i="5"/>
  <c r="D32" i="5"/>
  <c r="D40" i="5"/>
  <c r="E9" i="5"/>
  <c r="E7" i="5"/>
  <c r="D51" i="4"/>
  <c r="D55" i="4"/>
  <c r="E28" i="4"/>
  <c r="E24" i="4"/>
  <c r="D11" i="4"/>
  <c r="D16" i="4"/>
  <c r="D22" i="4"/>
  <c r="D32" i="4"/>
  <c r="D40" i="4"/>
  <c r="E9" i="4"/>
  <c r="E8" i="4"/>
  <c r="E7" i="4"/>
  <c r="D11" i="3"/>
  <c r="D16" i="3"/>
  <c r="D22" i="3"/>
  <c r="D32" i="3"/>
  <c r="D40" i="3"/>
  <c r="E45" i="3"/>
  <c r="C69" i="3"/>
  <c r="E20" i="3"/>
  <c r="E19" i="3"/>
  <c r="E7" i="3"/>
  <c r="E3" i="3"/>
  <c r="B19" i="2"/>
  <c r="H11" i="2"/>
  <c r="C51" i="8"/>
  <c r="C55" i="8"/>
  <c r="D55" i="8"/>
  <c r="C55" i="7"/>
  <c r="D55" i="7"/>
  <c r="E55" i="7"/>
  <c r="D55" i="6"/>
  <c r="C51" i="4"/>
  <c r="C64" i="4"/>
  <c r="C55" i="3"/>
  <c r="C64" i="3"/>
  <c r="C70" i="3"/>
  <c r="E51" i="3"/>
  <c r="C66" i="3"/>
  <c r="C70" i="4"/>
  <c r="C73" i="4"/>
  <c r="C55" i="4"/>
  <c r="E55" i="4"/>
  <c r="C70" i="5"/>
  <c r="C73" i="5"/>
  <c r="C55" i="5"/>
  <c r="E55" i="5"/>
  <c r="E51" i="5"/>
  <c r="C55" i="6"/>
  <c r="E55" i="6"/>
  <c r="C70" i="6"/>
  <c r="C73" i="6"/>
  <c r="E51" i="6"/>
  <c r="C70" i="7"/>
  <c r="C73" i="7"/>
  <c r="E51" i="7"/>
  <c r="E53" i="7"/>
  <c r="E51" i="8"/>
  <c r="C64" i="8"/>
  <c r="C70" i="8"/>
  <c r="C73" i="8"/>
  <c r="E51" i="4"/>
  <c r="D55" i="3"/>
  <c r="E55" i="3"/>
  <c r="B10" i="2"/>
  <c r="B6" i="2"/>
  <c r="D51" i="1"/>
  <c r="E55" i="8"/>
  <c r="C73" i="3"/>
  <c r="E53" i="1"/>
  <c r="E50" i="1"/>
  <c r="C72" i="1"/>
  <c r="E49" i="1"/>
  <c r="C71" i="1"/>
  <c r="E46" i="1"/>
  <c r="E45" i="1"/>
  <c r="C69" i="1"/>
  <c r="E44" i="1"/>
  <c r="C68" i="1"/>
  <c r="E43" i="1"/>
  <c r="C67" i="1"/>
  <c r="E42" i="1"/>
  <c r="C66" i="1"/>
  <c r="E41" i="1"/>
  <c r="C65" i="1"/>
  <c r="E35" i="1"/>
  <c r="E34" i="1"/>
  <c r="E33" i="1"/>
  <c r="E30" i="1"/>
  <c r="E29" i="1"/>
  <c r="E28" i="1"/>
  <c r="E27" i="1"/>
  <c r="E26" i="1"/>
  <c r="E25" i="1"/>
  <c r="E24" i="1"/>
  <c r="E23" i="1"/>
  <c r="E20" i="1"/>
  <c r="E19" i="1"/>
  <c r="E18" i="1"/>
  <c r="E17" i="1"/>
  <c r="E14" i="1"/>
  <c r="E13" i="1"/>
  <c r="E12" i="1"/>
  <c r="E4" i="1"/>
  <c r="E5" i="1"/>
  <c r="E6" i="1"/>
  <c r="E7" i="1"/>
  <c r="E8" i="1"/>
  <c r="E9" i="1"/>
  <c r="E3" i="1"/>
  <c r="D55" i="1"/>
  <c r="C70" i="1"/>
  <c r="C73" i="1"/>
  <c r="E55" i="1"/>
  <c r="E11" i="2"/>
  <c r="B18" i="2"/>
  <c r="B11" i="2"/>
  <c r="B20" i="2"/>
  <c r="E51" i="1"/>
  <c r="K11" i="2"/>
  <c r="B21" i="2"/>
  <c r="B2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<sst xmlns="http://schemas.openxmlformats.org/spreadsheetml/2006/main" count="750" uniqueCount="121">
  <si>
    <t>Market Risk Module</t>
  </si>
  <si>
    <t>Interest</t>
  </si>
  <si>
    <t>Equity</t>
  </si>
  <si>
    <t>Property</t>
  </si>
  <si>
    <t>Spread</t>
  </si>
  <si>
    <t>Currency</t>
  </si>
  <si>
    <t>Concentration</t>
  </si>
  <si>
    <t>Diversified</t>
  </si>
  <si>
    <t>Counterparty Default Module</t>
  </si>
  <si>
    <t>Type 1</t>
  </si>
  <si>
    <t>Type 2</t>
  </si>
  <si>
    <t>Non-Life UW Module</t>
  </si>
  <si>
    <t>P&amp;R</t>
  </si>
  <si>
    <t>Lapse</t>
  </si>
  <si>
    <t>CAT</t>
  </si>
  <si>
    <t>Life UW Module</t>
  </si>
  <si>
    <t>Mortality risk</t>
  </si>
  <si>
    <t>Longevity risk</t>
  </si>
  <si>
    <t>Disability-morbidity risk</t>
  </si>
  <si>
    <t>Mass Lapse risk</t>
  </si>
  <si>
    <t>Life expense risk</t>
  </si>
  <si>
    <t>Revision risk</t>
  </si>
  <si>
    <t>Life catastrophe risk</t>
  </si>
  <si>
    <t>Health UW Module</t>
  </si>
  <si>
    <t>Module</t>
  </si>
  <si>
    <t>Operational Risk</t>
  </si>
  <si>
    <t>LACDT</t>
  </si>
  <si>
    <t>Final SCR</t>
  </si>
  <si>
    <t>Q1 2025</t>
  </si>
  <si>
    <t>Delta</t>
  </si>
  <si>
    <t>Comment</t>
  </si>
  <si>
    <t>Own Funds</t>
  </si>
  <si>
    <t>SCR Market</t>
  </si>
  <si>
    <t>SCR CDR</t>
  </si>
  <si>
    <t>SCR Life UW</t>
  </si>
  <si>
    <t>SCR Health UW</t>
  </si>
  <si>
    <t>SCR Non-Life UW</t>
  </si>
  <si>
    <t>Solvency II Ratio</t>
  </si>
  <si>
    <t>Diversified BSCR</t>
  </si>
  <si>
    <t>SCR Q1 2025</t>
  </si>
  <si>
    <t>Δ SCR Mkt</t>
  </si>
  <si>
    <t>Δ SCR CDR</t>
  </si>
  <si>
    <t>Δ SCR Life UW</t>
  </si>
  <si>
    <t>Δ SCR Health UW</t>
  </si>
  <si>
    <t>Δ SCR Non-Life UW</t>
  </si>
  <si>
    <t>Diversification</t>
  </si>
  <si>
    <t>Δ Op Risk</t>
  </si>
  <si>
    <t>Δ LACDT</t>
  </si>
  <si>
    <t>Q2 2025</t>
  </si>
  <si>
    <t xml:space="preserve">Currency SCR methodology update. </t>
  </si>
  <si>
    <t>Due to reduced TPs after Premium Provision methodology update.</t>
  </si>
  <si>
    <t>new reinsurance structure</t>
  </si>
  <si>
    <t>CAR increase</t>
  </si>
  <si>
    <t>Due to Premium Provision methodology update.</t>
  </si>
  <si>
    <t>Currency SCR + PP update + FX impact</t>
  </si>
  <si>
    <t>Not all DTL can be LACDT anymore (due to ratio between SCR and EQR). Impact of the cap.</t>
  </si>
  <si>
    <t>Impact of FX (-0.6m) summing up to the Gross TP reduction due to Premium Provision methodology update + EnONS IBNR release</t>
  </si>
  <si>
    <t>(around -1.7m of FX only)</t>
  </si>
  <si>
    <t>BSCR</t>
  </si>
  <si>
    <t>OpRisk</t>
  </si>
  <si>
    <t>SCR</t>
  </si>
  <si>
    <t>OF</t>
  </si>
  <si>
    <t>SII Ratio</t>
  </si>
  <si>
    <t>FX Impact</t>
  </si>
  <si>
    <t>Currency SCR</t>
  </si>
  <si>
    <t>effect</t>
  </si>
  <si>
    <t>Premium Provision</t>
  </si>
  <si>
    <t>on Q1</t>
  </si>
  <si>
    <t>Q2 USD reserves over Q1 USD reserves impact</t>
  </si>
  <si>
    <t>Currency SCR impact</t>
  </si>
  <si>
    <t>FX impact</t>
  </si>
  <si>
    <t>All other impacts</t>
  </si>
  <si>
    <t>Other</t>
  </si>
  <si>
    <t>Q2 '25 Solvency Ratio</t>
  </si>
  <si>
    <t>Q1 '25 Solvency Ratio</t>
  </si>
  <si>
    <t>(IBNR release (+), receivables (+), LACDT cap (-), …)</t>
  </si>
  <si>
    <t>Prem. Prov. methodology impact</t>
  </si>
  <si>
    <t>-0.7m reduction in overdue receivables + FX impact (around -1m)</t>
  </si>
  <si>
    <t>reduction of reserves mostly due to EnONS IBNR release plus run-off of earned premiums for DC lines</t>
  </si>
  <si>
    <t>Summary per module</t>
  </si>
  <si>
    <t>Summary per sub-modules</t>
  </si>
  <si>
    <t>SCR Q2 2025</t>
  </si>
  <si>
    <t>Q4 2024</t>
  </si>
  <si>
    <t>Annual 2024</t>
  </si>
  <si>
    <t>Q3 2024</t>
  </si>
  <si>
    <t>Q2 2024</t>
  </si>
  <si>
    <t>Q1 2024</t>
  </si>
  <si>
    <t>Annual 2023</t>
  </si>
  <si>
    <t>SCR Annual 2024</t>
  </si>
  <si>
    <t>SCR Q4 2024</t>
  </si>
  <si>
    <t>Module / Submodule</t>
  </si>
  <si>
    <t>Interest Rate Risk</t>
  </si>
  <si>
    <t>Equity Risk</t>
  </si>
  <si>
    <t>NSLT Health UW Module</t>
  </si>
  <si>
    <t>Property Risk</t>
  </si>
  <si>
    <t>Spread Risk</t>
  </si>
  <si>
    <t>Currency Risk</t>
  </si>
  <si>
    <t>Concentration Risk</t>
  </si>
  <si>
    <t>Q3 2025</t>
  </si>
  <si>
    <t>Better match between Assets and Liabilities due to a combination of IR curve, Bonds purchase, TP movements</t>
  </si>
  <si>
    <t>Increase due to a deteriorated mismatch for INR and SAR, mostly driven by the Fwh mechanism (amounts ceded to Cayman are fully in USD)</t>
  </si>
  <si>
    <t>Mostly due to a reduced cash position (from EUR 40.3m to EUR 22.0m)</t>
  </si>
  <si>
    <r>
      <t>Due to a EUR 0.5m increase in overdue receivables (</t>
    </r>
    <r>
      <rPr>
        <sz val="11"/>
        <rFont val="Aptos Narrow"/>
        <family val="2"/>
      </rPr>
      <t>&gt;90 days)</t>
    </r>
  </si>
  <si>
    <t xml:space="preserve">Mostly due to an increase in future expected premiums following new Business plan </t>
  </si>
  <si>
    <t>Mostly due to a decrease in existing UPR/pipeline premiums</t>
  </si>
  <si>
    <t>Due to an adjustment in the Property CAT sub-module (driven by new CAT XoL structure)</t>
  </si>
  <si>
    <t>Due to an increase of the morbidity rate provided by the UW team</t>
  </si>
  <si>
    <t>Reduction in CAR provided by UW team</t>
  </si>
  <si>
    <t>EUR 0.5m of diversification impact</t>
  </si>
  <si>
    <t>Following SCR movement</t>
  </si>
  <si>
    <t>As calculated by Finance. Deterioration driven by technical negative result (mostly due to the absence of OpExp recovery in the new IntQS) and decrease in UPR/pipeline premiums (Premiums Provision impact, as now UPR and Solvency PP are closer).</t>
  </si>
  <si>
    <t>SCR Q3 2025</t>
  </si>
  <si>
    <t>Q4 2025</t>
  </si>
  <si>
    <t>USD mismatch increased by 4m compared to Q3</t>
  </si>
  <si>
    <t>1) inclusion of 5m of minimum FwH deposit as collateral, as per the IntQS contract;  2) better diversification among counterparties; 3) lower ceded provisions due to Bonds novation;</t>
  </si>
  <si>
    <t>3m of lower receivables due to Bonds novation</t>
  </si>
  <si>
    <t>1) lower TPs due to bonds novation and 2) lower premiums volumes mostly for Property</t>
  </si>
  <si>
    <t>following pipeline premiums evolution</t>
  </si>
  <si>
    <t>lower TPs mostly due to Bonds novation and IBNR releases compensating MOL loss</t>
  </si>
  <si>
    <t>following EBS movements</t>
  </si>
  <si>
    <t>Mostly due to approx. 2m of P&amp;L loss in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</si>
</sst>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&quot;+&quot;0%"/>
    <numFmt numFmtId="166" formatCode="0.0,,&quot;m&quot;"/>
    <numFmt numFmtId="167" formatCode="&quot;&quot;0%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i/>
      <u val="singleAccounting"/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u val="singleAccounting"/>
      <sz val="11"/>
      <name val="Aptos Narrow"/>
      <family val="2"/>
      <scheme val="minor"/>
    </font>
    <font>
      <b/>
      <sz val="11"/>
      <name val="Aptos Narrow"/>
      <family val="2"/>
      <scheme val="minor"/>
    </font>
    <font>
      <i/>
      <u/>
      <sz val="11"/>
      <name val="Aptos Narrow"/>
      <family val="2"/>
      <scheme val="minor"/>
    </font>
    <font>
      <b/>
      <i/>
      <u/>
      <sz val="11"/>
      <name val="Aptos Narrow"/>
      <family val="2"/>
      <scheme val="minor"/>
    </font>
    <font>
      <sz val="10"/>
      <color theme="1" tint="0.14996795556505021"/>
      <name val="Arial"/>
      <family val="2"/>
    </font>
    <font>
      <sz val="1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ECE7F5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 style="thin">
        <color rgb="FFC4BD97"/>
      </left>
      <right style="thin">
        <color rgb="FFC4BD97"/>
      </right>
      <top style="thin">
        <color rgb="FFC4BD97"/>
      </top>
      <bottom style="thin">
        <color rgb="FFC4BD97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4" fillId="3" borderId="1"/>
  </cellStyleXfs>
  <cellXfs count="54">
    <xf numFmtId="0" fontId="0" fillId="0" borderId="0" xfId="0"/>
    <xf numFmtId="164" fontId="0" fillId="0" borderId="0" xfId="1" applyNumberFormat="1" applyFont="1"/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2" borderId="0" xfId="0" applyFont="1" applyFill="1"/>
    <xf numFmtId="0" fontId="6" fillId="0" borderId="0" xfId="0" applyFont="1"/>
    <xf numFmtId="0" fontId="8" fillId="0" borderId="0" xfId="0" applyFont="1"/>
    <xf numFmtId="9" fontId="8" fillId="0" borderId="0" xfId="2" applyFont="1"/>
    <xf numFmtId="166" fontId="0" fillId="0" borderId="0" xfId="1" applyNumberFormat="1" applyFont="1"/>
    <xf numFmtId="166" fontId="7" fillId="0" borderId="0" xfId="1" applyNumberFormat="1" applyFont="1"/>
    <xf numFmtId="166" fontId="2" fillId="0" borderId="0" xfId="0" applyNumberFormat="1" applyFont="1"/>
    <xf numFmtId="166" fontId="0" fillId="0" borderId="0" xfId="0" applyNumberFormat="1"/>
    <xf numFmtId="166" fontId="7" fillId="0" borderId="0" xfId="0" applyNumberFormat="1" applyFont="1"/>
    <xf numFmtId="166" fontId="6" fillId="0" borderId="0" xfId="1" applyNumberFormat="1" applyFont="1"/>
    <xf numFmtId="166" fontId="9" fillId="0" borderId="0" xfId="1" applyNumberFormat="1" applyFont="1"/>
    <xf numFmtId="0" fontId="9" fillId="0" borderId="0" xfId="0" applyFont="1"/>
    <xf numFmtId="166" fontId="10" fillId="0" borderId="0" xfId="1" applyNumberFormat="1" applyFont="1"/>
    <xf numFmtId="166" fontId="11" fillId="0" borderId="0" xfId="0" applyNumberFormat="1" applyFont="1"/>
    <xf numFmtId="0" fontId="11" fillId="0" borderId="0" xfId="0" applyFont="1"/>
    <xf numFmtId="164" fontId="9" fillId="0" borderId="0" xfId="1" applyNumberFormat="1" applyFont="1"/>
    <xf numFmtId="166" fontId="9" fillId="0" borderId="0" xfId="0" applyNumberFormat="1" applyFont="1"/>
    <xf numFmtId="166" fontId="10" fillId="0" borderId="0" xfId="0" applyNumberFormat="1" applyFont="1"/>
    <xf numFmtId="166" fontId="12" fillId="0" borderId="0" xfId="1" applyNumberFormat="1" applyFont="1"/>
    <xf numFmtId="165" fontId="13" fillId="0" borderId="0" xfId="2" applyNumberFormat="1" applyFont="1"/>
    <xf numFmtId="0" fontId="9" fillId="0" borderId="0" xfId="0" quotePrefix="1" applyFont="1"/>
    <xf numFmtId="43" fontId="0" fillId="0" borderId="0" xfId="1" applyFont="1"/>
    <xf numFmtId="9" fontId="0" fillId="0" borderId="0" xfId="2" applyFont="1"/>
    <xf numFmtId="10" fontId="0" fillId="0" borderId="0" xfId="2" applyNumberFormat="1" applyFont="1"/>
    <xf numFmtId="9" fontId="0" fillId="0" borderId="0" xfId="0" applyNumberFormat="1"/>
    <xf numFmtId="9" fontId="2" fillId="0" borderId="0" xfId="0" applyNumberFormat="1" applyFont="1"/>
    <xf numFmtId="9" fontId="13" fillId="0" borderId="0" xfId="2" applyFont="1"/>
    <xf numFmtId="0" fontId="2" fillId="4" borderId="2" xfId="0" applyFont="1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3" fillId="0" borderId="5" xfId="0" applyFont="1" applyBorder="1"/>
    <xf numFmtId="164" fontId="2" fillId="0" borderId="6" xfId="1" applyNumberFormat="1" applyFont="1" applyBorder="1"/>
    <xf numFmtId="0" fontId="0" fillId="0" borderId="7" xfId="0" applyBorder="1"/>
    <xf numFmtId="164" fontId="0" fillId="0" borderId="0" xfId="1" applyNumberFormat="1" applyFont="1" applyBorder="1"/>
    <xf numFmtId="0" fontId="0" fillId="0" borderId="8" xfId="0" applyBorder="1"/>
    <xf numFmtId="164" fontId="0" fillId="0" borderId="9" xfId="1" applyNumberFormat="1" applyFont="1" applyBorder="1"/>
    <xf numFmtId="0" fontId="0" fillId="0" borderId="5" xfId="0" applyBorder="1"/>
    <xf numFmtId="164" fontId="0" fillId="0" borderId="6" xfId="0" applyNumberFormat="1" applyBorder="1"/>
    <xf numFmtId="164" fontId="0" fillId="0" borderId="0" xfId="0" applyNumberFormat="1"/>
    <xf numFmtId="0" fontId="2" fillId="0" borderId="8" xfId="0" applyFont="1" applyBorder="1"/>
    <xf numFmtId="164" fontId="2" fillId="0" borderId="9" xfId="1" applyNumberFormat="1" applyFont="1" applyBorder="1"/>
    <xf numFmtId="164" fontId="1" fillId="0" borderId="6" xfId="1" applyNumberFormat="1" applyFont="1" applyBorder="1"/>
    <xf numFmtId="164" fontId="1" fillId="0" borderId="0" xfId="1" applyNumberFormat="1" applyFont="1" applyBorder="1"/>
    <xf numFmtId="0" fontId="8" fillId="0" borderId="8" xfId="0" applyFont="1" applyBorder="1"/>
    <xf numFmtId="0" fontId="0" fillId="0" borderId="2" xfId="0" applyBorder="1"/>
    <xf numFmtId="164" fontId="0" fillId="0" borderId="3" xfId="1" applyNumberFormat="1" applyFont="1" applyBorder="1"/>
    <xf numFmtId="0" fontId="8" fillId="0" borderId="2" xfId="0" applyFont="1" applyBorder="1"/>
    <xf numFmtId="9" fontId="2" fillId="0" borderId="3" xfId="2" applyFont="1" applyBorder="1"/>
    <xf numFmtId="167" fontId="13" fillId="0" borderId="0" xfId="2" applyNumberFormat="1" applyFont="1"/>
  </cellXfs>
  <cellStyles count="4">
    <cellStyle name="Comma" xfId="1" builtinId="3"/>
    <cellStyle name="Normal" xfId="0" builtinId="0"/>
    <cellStyle name="Percent" xfId="2" builtinId="5"/>
    <cellStyle name="SF_FORMULA_ACCOUNTING" xfId="3" xr:uid="{8586A86B-5F44-496B-A4C3-00F4871DF8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Q2 2025 SCR waterfall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Q2 2025 SCR waterfall</a:t>
          </a:r>
        </a:p>
      </cx:txPr>
    </cx:title>
    <cx:plotArea>
      <cx:plotAreaRegion>
        <cx:series layoutId="waterfall" uniqueId="{4E561F49-BEAA-4C3B-9DEE-74BE0EE0DBEC}">
          <cx:dataLabels pos="outEnd">
            <cx:visibility seriesName="0" categoryName="0" value="1"/>
          </cx:dataLabels>
          <cx:dataId val="0"/>
          <cx:layoutPr>
            <cx:subtotals>
              <cx:idx val="9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  <cx:numFmt formatCode="0,,&quot;m&quot;" sourceLinked="0"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Q2 2025 SCR waterfall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Q2 2025 SCR waterfall</a:t>
          </a:r>
        </a:p>
      </cx:txPr>
    </cx:title>
    <cx:plotArea>
      <cx:plotAreaRegion>
        <cx:series layoutId="waterfall" uniqueId="{4E561F49-BEAA-4C3B-9DEE-74BE0EE0DBEC}">
          <cx:dataLabels pos="outEnd">
            <cx:visibility seriesName="0" categoryName="0" value="1"/>
          </cx:dataLabels>
          <cx:dataId val="0"/>
          <cx:layoutPr>
            <cx:subtotals>
              <cx:idx val="9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  <cx:numFmt formatCode="0,,&quot;m&quot;" sourceLinked="0"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_xlchart.v1.5</cx:f>
      </cx:numDim>
    </cx:data>
  </cx:chartData>
  <cx:chart>
    <cx:title pos="t" align="ctr" overlay="0">
      <cx:tx>
        <cx:txData>
          <cx:v>Q2 2025 SCR waterfall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Q2 2025 SCR waterfall</a:t>
          </a:r>
        </a:p>
      </cx:txPr>
    </cx:title>
    <cx:plotArea>
      <cx:plotAreaRegion>
        <cx:series layoutId="waterfall" uniqueId="{4E561F49-BEAA-4C3B-9DEE-74BE0EE0DBEC}">
          <cx:dataLabels pos="outEnd">
            <cx:visibility seriesName="0" categoryName="0" value="1"/>
          </cx:dataLabels>
          <cx:dataId val="0"/>
          <cx:layoutPr>
            <cx:subtotals>
              <cx:idx val="9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  <cx:numFmt formatCode="0,,&quot;m&quot;" sourceLinked="0"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_xlchart.v1.7</cx:f>
      </cx:numDim>
    </cx:data>
  </cx:chartData>
  <cx:chart>
    <cx:title pos="t" align="ctr" overlay="0">
      <cx:tx>
        <cx:txData>
          <cx:v>Q2 2025 SCR waterfall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Q2 2025 SCR waterfall</a:t>
          </a:r>
        </a:p>
      </cx:txPr>
    </cx:title>
    <cx:plotArea>
      <cx:plotAreaRegion>
        <cx:series layoutId="waterfall" uniqueId="{4E561F49-BEAA-4C3B-9DEE-74BE0EE0DBEC}">
          <cx:dataLabels pos="outEnd">
            <cx:visibility seriesName="0" categoryName="0" value="1"/>
          </cx:dataLabels>
          <cx:dataId val="0"/>
          <cx:layoutPr>
            <cx:subtotals>
              <cx:idx val="9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  <cx:numFmt formatCode="0,,&quot;m&quot;" sourceLinked="0"/>
      </cx:axis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_xlchart.v1.9</cx:f>
      </cx:numDim>
    </cx:data>
  </cx:chartData>
  <cx:chart>
    <cx:title pos="t" align="ctr" overlay="0">
      <cx:tx>
        <cx:txData>
          <cx:v>Q2 2025 SCR waterfall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Q2 2025 SCR waterfall</a:t>
          </a:r>
        </a:p>
      </cx:txPr>
    </cx:title>
    <cx:plotArea>
      <cx:plotAreaRegion>
        <cx:series layoutId="waterfall" uniqueId="{4E561F49-BEAA-4C3B-9DEE-74BE0EE0DBEC}">
          <cx:dataLabels pos="outEnd">
            <cx:visibility seriesName="0" categoryName="0" value="1"/>
          </cx:dataLabels>
          <cx:dataId val="0"/>
          <cx:layoutPr>
            <cx:subtotals>
              <cx:idx val="9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  <cx:numFmt formatCode="0,,&quot;m&quot;" sourceLinked="0"/>
      </cx:axis>
    </cx:plotArea>
    <cx:legend pos="t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val">
        <cx:f>_xlchart.v1.11</cx:f>
      </cx:numDim>
    </cx:data>
  </cx:chartData>
  <cx:chart>
    <cx:title pos="t" align="ctr" overlay="0">
      <cx:tx>
        <cx:txData>
          <cx:v>Q2 2025 SCR waterfall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Q2 2025 SCR waterfall</a:t>
          </a:r>
        </a:p>
      </cx:txPr>
    </cx:title>
    <cx:plotArea>
      <cx:plotAreaRegion>
        <cx:series layoutId="waterfall" uniqueId="{4E561F49-BEAA-4C3B-9DEE-74BE0EE0DBEC}">
          <cx:dataLabels pos="outEnd">
            <cx:visibility seriesName="0" categoryName="0" value="1"/>
          </cx:dataLabels>
          <cx:dataId val="0"/>
          <cx:layoutPr>
            <cx:subtotals>
              <cx:idx val="9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  <cx:numFmt formatCode="0,,&quot;m&quot;" sourceLinked="0"/>
      </cx:axis>
    </cx:plotArea>
    <cx:legend pos="t" align="ctr" overlay="0"/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_xlchart.v1.13</cx:f>
      </cx:numDim>
    </cx:data>
  </cx:chartData>
  <cx:chart>
    <cx:title pos="t" align="ctr" overlay="0">
      <cx:tx>
        <cx:txData>
          <cx:v>Q2 2025 SCR waterfall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Q2 2025 SCR waterfall</a:t>
          </a:r>
        </a:p>
      </cx:txPr>
    </cx:title>
    <cx:plotArea>
      <cx:plotAreaRegion>
        <cx:series layoutId="waterfall" uniqueId="{4E561F49-BEAA-4C3B-9DEE-74BE0EE0DBEC}">
          <cx:dataLabels pos="outEnd">
            <cx:visibility seriesName="0" categoryName="0" value="1"/>
          </cx:dataLabels>
          <cx:dataId val="0"/>
          <cx:layoutPr>
            <cx:subtotals>
              <cx:idx val="9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  <cx:numFmt formatCode="0,,&quot;m&quot;" sourceLinked="0"/>
      </cx:axis>
    </cx:plotArea>
    <cx:legend pos="t" align="ctr" overlay="0"/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_xlchart.v1.14</cx:f>
      </cx:strDim>
      <cx:numDim type="val">
        <cx:f>_xlchart.v1.15</cx:f>
      </cx:numDim>
    </cx:data>
  </cx:chartData>
  <cx:chart>
    <cx:title pos="t" align="ctr" overlay="0">
      <cx:tx>
        <cx:txData>
          <cx:v>Q1 '25 to Q2 '25 Solvency Ratio bridge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Q1 '25 to Q2 '25 Solvency Ratio bridge</a:t>
          </a:r>
        </a:p>
      </cx:txPr>
    </cx:title>
    <cx:plotArea>
      <cx:plotAreaRegion>
        <cx:series layoutId="waterfall" uniqueId="{D180E29A-6E9C-4621-B510-1AE25A67A779}">
          <cx:dataLabels pos="outEnd">
            <cx:visibility seriesName="0" categoryName="0" value="1"/>
          </cx:dataLabels>
          <cx:dataId val="0"/>
          <cx:layoutPr>
            <cx:subtotals>
              <cx:idx val="5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800"/>
            </a:pPr>
            <a:endParaRPr lang="en-US" sz="8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7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922020</xdr:colOff>
      <xdr:row>62</xdr:row>
      <xdr:rowOff>140970</xdr:rowOff>
    </xdr:from>
    <xdr:to>
      <xdr:col>11</xdr:col>
      <xdr:colOff>220980</xdr:colOff>
      <xdr:row>83</xdr:row>
      <xdr:rowOff>53340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91396DC-F07D-4B03-B60D-D38D546358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53000" y="11616690"/>
              <a:ext cx="6096000" cy="3752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922020</xdr:colOff>
      <xdr:row>62</xdr:row>
      <xdr:rowOff>140970</xdr:rowOff>
    </xdr:from>
    <xdr:to>
      <xdr:col>11</xdr:col>
      <xdr:colOff>220980</xdr:colOff>
      <xdr:row>83</xdr:row>
      <xdr:rowOff>53340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12F2056-298D-4D90-ACA6-BF409493F9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53000" y="11616690"/>
              <a:ext cx="6096000" cy="3752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922020</xdr:colOff>
      <xdr:row>62</xdr:row>
      <xdr:rowOff>140970</xdr:rowOff>
    </xdr:from>
    <xdr:to>
      <xdr:col>11</xdr:col>
      <xdr:colOff>220980</xdr:colOff>
      <xdr:row>83</xdr:row>
      <xdr:rowOff>53340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63B6DD1-9C24-4F36-8815-2ADF5B42E4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53000" y="11616690"/>
              <a:ext cx="6096000" cy="3752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922020</xdr:colOff>
      <xdr:row>62</xdr:row>
      <xdr:rowOff>140970</xdr:rowOff>
    </xdr:from>
    <xdr:to>
      <xdr:col>11</xdr:col>
      <xdr:colOff>220980</xdr:colOff>
      <xdr:row>83</xdr:row>
      <xdr:rowOff>53340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ABE43B1-A2B6-4819-9D9C-D7BB820EBA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53000" y="11616690"/>
              <a:ext cx="6096000" cy="3752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922020</xdr:colOff>
      <xdr:row>62</xdr:row>
      <xdr:rowOff>140970</xdr:rowOff>
    </xdr:from>
    <xdr:to>
      <xdr:col>11</xdr:col>
      <xdr:colOff>220980</xdr:colOff>
      <xdr:row>83</xdr:row>
      <xdr:rowOff>53340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A07E41E-9636-40F6-A8BB-143099F20C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53000" y="11616690"/>
              <a:ext cx="6096000" cy="3752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922020</xdr:colOff>
      <xdr:row>62</xdr:row>
      <xdr:rowOff>140970</xdr:rowOff>
    </xdr:from>
    <xdr:to>
      <xdr:col>11</xdr:col>
      <xdr:colOff>220980</xdr:colOff>
      <xdr:row>83</xdr:row>
      <xdr:rowOff>53340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B465995-6915-4315-9E68-DE4D2718B5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53000" y="11616690"/>
              <a:ext cx="6096000" cy="3752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922020</xdr:colOff>
      <xdr:row>62</xdr:row>
      <xdr:rowOff>140970</xdr:rowOff>
    </xdr:from>
    <xdr:to>
      <xdr:col>11</xdr:col>
      <xdr:colOff>220980</xdr:colOff>
      <xdr:row>83</xdr:row>
      <xdr:rowOff>53340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3F30838-48A2-3C31-8575-33521D2E8D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53000" y="11616690"/>
              <a:ext cx="6096000" cy="3752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906780</xdr:colOff>
      <xdr:row>8</xdr:row>
      <xdr:rowOff>133350</xdr:rowOff>
    </xdr:from>
    <xdr:to>
      <xdr:col>21</xdr:col>
      <xdr:colOff>22860</xdr:colOff>
      <xdr:row>34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6F97D9B-4917-8D57-6164-B3359625A1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33260" y="1596390"/>
              <a:ext cx="8191500" cy="4781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BDBF1-4BCD-455E-85F0-79E161368373}">
  <dimension ref="B1:I60"/>
  <sheetViews>
    <sheetView showGridLines="0" workbookViewId="0">
      <selection activeCell="D3" sqref="D3"/>
    </sheetView>
  </sheetViews>
  <sheetFormatPr defaultRowHeight="14.4" x14ac:dyDescent="0.3"/>
  <cols>
    <col min="1" max="1" width="4.33203125" customWidth="1"/>
    <col min="2" max="2" width="22.77734375" customWidth="1"/>
    <col min="3" max="3" width="13.88671875" bestFit="1" customWidth="1"/>
    <col min="4" max="4" width="17.77734375" bestFit="1" customWidth="1"/>
    <col min="5" max="5" width="13.88671875" bestFit="1" customWidth="1"/>
    <col min="6" max="6" width="40.77734375" customWidth="1"/>
  </cols>
  <sheetData>
    <row r="1" spans="2:9" x14ac:dyDescent="0.3">
      <c r="B1" s="5" t="s">
        <v>80</v>
      </c>
    </row>
    <row r="2" spans="2:9" x14ac:dyDescent="0.3">
      <c r="B2" s="2" t="s">
        <v>0</v>
      </c>
      <c r="C2" s="4"/>
      <c r="D2" s="4" t="s">
        <v>87</v>
      </c>
      <c r="E2" s="4"/>
      <c r="F2" s="4"/>
    </row>
    <row r="3" spans="2:9" x14ac:dyDescent="0.3">
      <c r="B3" t="s">
        <v>1</v>
      </c>
      <c r="C3" s="9"/>
      <c r="D3" s="9">
        <v>874144.03979432583</v>
      </c>
      <c r="E3" s="15"/>
      <c r="F3" s="16"/>
      <c r="G3" s="16"/>
      <c r="H3" s="16"/>
      <c r="I3" s="16"/>
    </row>
    <row r="4" spans="2:9" x14ac:dyDescent="0.3">
      <c r="B4" t="s">
        <v>2</v>
      </c>
      <c r="C4" s="9"/>
      <c r="D4" s="9">
        <v>594263.52631316672</v>
      </c>
      <c r="E4" s="15"/>
      <c r="F4" s="16"/>
      <c r="G4" s="16"/>
      <c r="H4" s="16"/>
      <c r="I4" s="16"/>
    </row>
    <row r="5" spans="2:9" x14ac:dyDescent="0.3">
      <c r="B5" t="s">
        <v>3</v>
      </c>
      <c r="C5" s="9"/>
      <c r="D5" s="9">
        <v>0</v>
      </c>
      <c r="E5" s="15"/>
      <c r="F5" s="16"/>
      <c r="G5" s="16"/>
      <c r="H5" s="16"/>
      <c r="I5" s="16"/>
    </row>
    <row r="6" spans="2:9" x14ac:dyDescent="0.3">
      <c r="B6" t="s">
        <v>4</v>
      </c>
      <c r="C6" s="9"/>
      <c r="D6" s="9">
        <v>328569.46479050815</v>
      </c>
      <c r="E6" s="15"/>
      <c r="F6" s="16"/>
      <c r="G6" s="16"/>
      <c r="H6" s="16"/>
      <c r="I6" s="16"/>
    </row>
    <row r="7" spans="2:9" x14ac:dyDescent="0.3">
      <c r="B7" t="s">
        <v>5</v>
      </c>
      <c r="C7" s="9"/>
      <c r="D7" s="9">
        <v>7689839.3986506499</v>
      </c>
      <c r="E7" s="15"/>
      <c r="F7" s="16"/>
      <c r="G7" s="16"/>
      <c r="H7" s="16"/>
      <c r="I7" s="16"/>
    </row>
    <row r="8" spans="2:9" x14ac:dyDescent="0.3">
      <c r="B8" t="s">
        <v>6</v>
      </c>
      <c r="C8" s="9"/>
      <c r="D8" s="9">
        <v>485172.02925160195</v>
      </c>
      <c r="E8" s="15"/>
      <c r="F8" s="16"/>
      <c r="G8" s="16"/>
      <c r="H8" s="16"/>
      <c r="I8" s="16"/>
    </row>
    <row r="9" spans="2:9" ht="16.2" x14ac:dyDescent="0.45">
      <c r="B9" s="6" t="s">
        <v>7</v>
      </c>
      <c r="C9" s="10"/>
      <c r="D9" s="10">
        <v>8233855.3769013602</v>
      </c>
      <c r="E9" s="17"/>
      <c r="F9" s="16"/>
      <c r="G9" s="16"/>
      <c r="H9" s="16"/>
      <c r="I9" s="16"/>
    </row>
    <row r="10" spans="2:9" x14ac:dyDescent="0.3">
      <c r="C10" s="9"/>
      <c r="D10" s="9"/>
      <c r="E10" s="15"/>
      <c r="F10" s="16"/>
      <c r="G10" s="16"/>
      <c r="H10" s="16"/>
      <c r="I10" s="16"/>
    </row>
    <row r="11" spans="2:9" x14ac:dyDescent="0.3">
      <c r="B11" s="2" t="s">
        <v>8</v>
      </c>
      <c r="C11" s="11"/>
      <c r="D11" s="11" t="str">
        <f>+D2</f>
        <v>Annual 2023</v>
      </c>
      <c r="E11" s="18"/>
      <c r="F11" s="19"/>
      <c r="G11" s="16"/>
      <c r="H11" s="16"/>
      <c r="I11" s="16"/>
    </row>
    <row r="12" spans="2:9" x14ac:dyDescent="0.3">
      <c r="B12" t="s">
        <v>9</v>
      </c>
      <c r="C12" s="9"/>
      <c r="D12" s="9">
        <v>12531344.039548784</v>
      </c>
      <c r="E12" s="15"/>
      <c r="F12" s="16"/>
      <c r="G12" s="16"/>
      <c r="H12" s="16"/>
      <c r="I12" s="16"/>
    </row>
    <row r="13" spans="2:9" x14ac:dyDescent="0.3">
      <c r="B13" t="s">
        <v>10</v>
      </c>
      <c r="C13" s="9"/>
      <c r="D13" s="9">
        <v>12340928.864327416</v>
      </c>
      <c r="E13" s="15"/>
      <c r="F13" s="25"/>
      <c r="G13" s="16"/>
      <c r="H13" s="16"/>
      <c r="I13" s="16"/>
    </row>
    <row r="14" spans="2:9" ht="16.2" x14ac:dyDescent="0.45">
      <c r="B14" s="6" t="s">
        <v>7</v>
      </c>
      <c r="C14" s="10"/>
      <c r="D14" s="10">
        <v>23265978.310005616</v>
      </c>
      <c r="E14" s="17"/>
      <c r="F14" s="16"/>
      <c r="G14" s="16"/>
      <c r="H14" s="16"/>
      <c r="I14" s="16"/>
    </row>
    <row r="15" spans="2:9" x14ac:dyDescent="0.3">
      <c r="C15" s="1"/>
      <c r="D15" s="1"/>
      <c r="E15" s="20"/>
      <c r="F15" s="16"/>
      <c r="G15" s="16"/>
      <c r="H15" s="16"/>
      <c r="I15" s="16"/>
    </row>
    <row r="16" spans="2:9" x14ac:dyDescent="0.3">
      <c r="B16" s="2" t="s">
        <v>11</v>
      </c>
      <c r="C16" s="11"/>
      <c r="D16" s="11" t="str">
        <f>+D11</f>
        <v>Annual 2023</v>
      </c>
      <c r="E16" s="19"/>
      <c r="F16" s="19"/>
      <c r="G16" s="16"/>
      <c r="H16" s="16"/>
      <c r="I16" s="16"/>
    </row>
    <row r="17" spans="2:9" x14ac:dyDescent="0.3">
      <c r="B17" t="s">
        <v>12</v>
      </c>
      <c r="C17" s="9"/>
      <c r="D17" s="9">
        <v>12340250.602288991</v>
      </c>
      <c r="E17" s="15"/>
      <c r="F17" s="16"/>
      <c r="G17" s="16"/>
      <c r="H17" s="16"/>
      <c r="I17" s="16"/>
    </row>
    <row r="18" spans="2:9" x14ac:dyDescent="0.3">
      <c r="B18" t="s">
        <v>13</v>
      </c>
      <c r="C18" s="9"/>
      <c r="D18" s="9">
        <v>0</v>
      </c>
      <c r="E18" s="15"/>
      <c r="F18" s="16"/>
      <c r="G18" s="16"/>
      <c r="H18" s="16"/>
      <c r="I18" s="16"/>
    </row>
    <row r="19" spans="2:9" x14ac:dyDescent="0.3">
      <c r="B19" t="s">
        <v>14</v>
      </c>
      <c r="C19" s="9"/>
      <c r="D19" s="9">
        <v>6229224.0698136585</v>
      </c>
      <c r="E19" s="15"/>
      <c r="F19" s="16"/>
      <c r="G19" s="16"/>
      <c r="H19" s="16"/>
      <c r="I19" s="16"/>
    </row>
    <row r="20" spans="2:9" ht="16.2" x14ac:dyDescent="0.45">
      <c r="B20" s="6" t="s">
        <v>7</v>
      </c>
      <c r="C20" s="10"/>
      <c r="D20" s="10">
        <v>15149921.137712076</v>
      </c>
      <c r="E20" s="17"/>
      <c r="F20" s="16"/>
      <c r="G20" s="16"/>
      <c r="H20" s="16"/>
      <c r="I20" s="16"/>
    </row>
    <row r="21" spans="2:9" x14ac:dyDescent="0.3">
      <c r="C21" s="9"/>
      <c r="D21" s="9"/>
      <c r="E21" s="15"/>
      <c r="F21" s="16"/>
      <c r="G21" s="16"/>
      <c r="H21" s="16"/>
      <c r="I21" s="16"/>
    </row>
    <row r="22" spans="2:9" x14ac:dyDescent="0.3">
      <c r="B22" s="2" t="s">
        <v>15</v>
      </c>
      <c r="C22" s="11"/>
      <c r="D22" s="11" t="str">
        <f>+D16</f>
        <v>Annual 2023</v>
      </c>
      <c r="E22" s="18"/>
      <c r="F22" s="19"/>
      <c r="G22" s="16"/>
      <c r="H22" s="16"/>
      <c r="I22" s="16"/>
    </row>
    <row r="23" spans="2:9" x14ac:dyDescent="0.3">
      <c r="B23" t="s">
        <v>16</v>
      </c>
      <c r="C23" s="9"/>
      <c r="D23" s="9">
        <v>599636.95036140457</v>
      </c>
      <c r="E23" s="15"/>
      <c r="F23" s="16"/>
      <c r="G23" s="16"/>
      <c r="H23" s="16"/>
      <c r="I23" s="16"/>
    </row>
    <row r="24" spans="2:9" x14ac:dyDescent="0.3">
      <c r="B24" t="s">
        <v>17</v>
      </c>
      <c r="C24" s="9"/>
      <c r="D24" s="9">
        <v>0</v>
      </c>
      <c r="E24" s="15"/>
      <c r="F24" s="16"/>
      <c r="G24" s="16"/>
      <c r="H24" s="16"/>
      <c r="I24" s="16"/>
    </row>
    <row r="25" spans="2:9" x14ac:dyDescent="0.3">
      <c r="B25" t="s">
        <v>18</v>
      </c>
      <c r="C25" s="9"/>
      <c r="D25" s="9">
        <v>684238.60026022419</v>
      </c>
      <c r="E25" s="15"/>
      <c r="F25" s="16"/>
      <c r="G25" s="16"/>
      <c r="H25" s="16"/>
      <c r="I25" s="16"/>
    </row>
    <row r="26" spans="2:9" x14ac:dyDescent="0.3">
      <c r="B26" t="s">
        <v>19</v>
      </c>
      <c r="C26" s="9"/>
      <c r="D26" s="9">
        <v>436058.42093189061</v>
      </c>
      <c r="E26" s="15"/>
      <c r="F26" s="16"/>
      <c r="G26" s="16"/>
      <c r="H26" s="16"/>
      <c r="I26" s="16"/>
    </row>
    <row r="27" spans="2:9" x14ac:dyDescent="0.3">
      <c r="B27" t="s">
        <v>20</v>
      </c>
      <c r="C27" s="9"/>
      <c r="D27" s="9">
        <v>144468.16801141575</v>
      </c>
      <c r="E27" s="15"/>
      <c r="F27" s="16"/>
      <c r="G27" s="16"/>
      <c r="H27" s="16"/>
      <c r="I27" s="16"/>
    </row>
    <row r="28" spans="2:9" x14ac:dyDescent="0.3">
      <c r="B28" t="s">
        <v>21</v>
      </c>
      <c r="C28" s="9"/>
      <c r="D28" s="9">
        <v>0</v>
      </c>
      <c r="E28" s="15"/>
      <c r="F28" s="16"/>
      <c r="G28" s="16"/>
      <c r="H28" s="16"/>
      <c r="I28" s="16"/>
    </row>
    <row r="29" spans="2:9" x14ac:dyDescent="0.3">
      <c r="B29" t="s">
        <v>22</v>
      </c>
      <c r="C29" s="9"/>
      <c r="D29" s="9">
        <v>2161439.5465994999</v>
      </c>
      <c r="E29" s="15"/>
      <c r="F29" s="16"/>
      <c r="G29" s="16"/>
      <c r="H29" s="16"/>
      <c r="I29" s="16"/>
    </row>
    <row r="30" spans="2:9" ht="16.2" x14ac:dyDescent="0.45">
      <c r="B30" s="6" t="s">
        <v>7</v>
      </c>
      <c r="C30" s="10"/>
      <c r="D30" s="10">
        <v>2852330.7945413385</v>
      </c>
      <c r="E30" s="17"/>
      <c r="F30" s="16"/>
      <c r="G30" s="16"/>
      <c r="H30" s="16"/>
      <c r="I30" s="16"/>
    </row>
    <row r="31" spans="2:9" x14ac:dyDescent="0.3">
      <c r="C31" s="9"/>
      <c r="D31" s="9"/>
      <c r="E31" s="15"/>
      <c r="F31" s="16"/>
      <c r="G31" s="16"/>
      <c r="H31" s="16"/>
      <c r="I31" s="16"/>
    </row>
    <row r="32" spans="2:9" x14ac:dyDescent="0.3">
      <c r="B32" s="2" t="s">
        <v>23</v>
      </c>
      <c r="C32" s="11"/>
      <c r="D32" s="11" t="str">
        <f>+D22</f>
        <v>Annual 2023</v>
      </c>
      <c r="E32" s="18"/>
      <c r="F32" s="19"/>
      <c r="G32" s="16"/>
      <c r="H32" s="16"/>
      <c r="I32" s="16"/>
    </row>
    <row r="33" spans="2:9" x14ac:dyDescent="0.3">
      <c r="B33" t="s">
        <v>12</v>
      </c>
      <c r="C33" s="9"/>
      <c r="D33" s="9">
        <v>184352.07064002671</v>
      </c>
      <c r="E33" s="15"/>
      <c r="F33" s="16"/>
      <c r="G33" s="16"/>
      <c r="H33" s="16"/>
      <c r="I33" s="16"/>
    </row>
    <row r="34" spans="2:9" x14ac:dyDescent="0.3">
      <c r="B34" t="s">
        <v>14</v>
      </c>
      <c r="C34" s="9"/>
      <c r="D34" s="9">
        <v>0</v>
      </c>
      <c r="E34" s="15"/>
      <c r="F34" s="16"/>
      <c r="G34" s="16"/>
      <c r="H34" s="16"/>
      <c r="I34" s="16"/>
    </row>
    <row r="35" spans="2:9" ht="16.2" x14ac:dyDescent="0.45">
      <c r="B35" s="6" t="s">
        <v>7</v>
      </c>
      <c r="C35" s="10"/>
      <c r="D35" s="10">
        <v>184352.07064002671</v>
      </c>
      <c r="E35" s="17"/>
      <c r="F35" s="16"/>
      <c r="G35" s="16"/>
      <c r="H35" s="16"/>
      <c r="I35" s="16"/>
    </row>
    <row r="36" spans="2:9" x14ac:dyDescent="0.3">
      <c r="B36" s="3"/>
      <c r="C36" s="9"/>
      <c r="D36" s="9"/>
      <c r="E36" s="15"/>
      <c r="F36" s="16"/>
      <c r="G36" s="16"/>
      <c r="H36" s="16"/>
      <c r="I36" s="16"/>
    </row>
    <row r="37" spans="2:9" x14ac:dyDescent="0.3">
      <c r="B37" s="3"/>
      <c r="C37" s="9"/>
      <c r="D37" s="9"/>
      <c r="E37" s="15"/>
      <c r="F37" s="16"/>
      <c r="G37" s="16"/>
      <c r="H37" s="16"/>
      <c r="I37" s="16"/>
    </row>
    <row r="38" spans="2:9" x14ac:dyDescent="0.3">
      <c r="C38" s="12"/>
      <c r="D38" s="12"/>
      <c r="E38" s="21"/>
      <c r="F38" s="16"/>
      <c r="G38" s="16"/>
      <c r="H38" s="16"/>
      <c r="I38" s="16"/>
    </row>
    <row r="39" spans="2:9" x14ac:dyDescent="0.3">
      <c r="B39" s="5" t="s">
        <v>79</v>
      </c>
      <c r="C39" s="12"/>
      <c r="D39" s="12"/>
      <c r="E39" s="21"/>
      <c r="F39" s="16"/>
      <c r="G39" s="16"/>
      <c r="H39" s="16"/>
      <c r="I39" s="16"/>
    </row>
    <row r="40" spans="2:9" x14ac:dyDescent="0.3">
      <c r="B40" s="4" t="s">
        <v>24</v>
      </c>
      <c r="C40" s="11"/>
      <c r="D40" s="11" t="str">
        <f>+D32</f>
        <v>Annual 2023</v>
      </c>
      <c r="E40" s="18"/>
      <c r="F40" s="19"/>
      <c r="G40" s="16"/>
      <c r="H40" s="16"/>
      <c r="I40" s="16"/>
    </row>
    <row r="41" spans="2:9" x14ac:dyDescent="0.3">
      <c r="B41" t="s">
        <v>32</v>
      </c>
      <c r="C41" s="12"/>
      <c r="D41" s="12">
        <v>8233855.3769013602</v>
      </c>
      <c r="E41" s="21"/>
      <c r="F41" s="16"/>
      <c r="G41" s="16"/>
      <c r="H41" s="16"/>
      <c r="I41" s="16"/>
    </row>
    <row r="42" spans="2:9" x14ac:dyDescent="0.3">
      <c r="B42" t="s">
        <v>33</v>
      </c>
      <c r="C42" s="12"/>
      <c r="D42" s="12">
        <v>23265978.310005616</v>
      </c>
      <c r="E42" s="21"/>
      <c r="F42" s="16"/>
      <c r="G42" s="16"/>
      <c r="H42" s="16"/>
      <c r="I42" s="16"/>
    </row>
    <row r="43" spans="2:9" x14ac:dyDescent="0.3">
      <c r="B43" t="s">
        <v>34</v>
      </c>
      <c r="C43" s="12"/>
      <c r="D43" s="12">
        <v>2852330.7945413385</v>
      </c>
      <c r="E43" s="21"/>
      <c r="F43" s="16"/>
      <c r="G43" s="16"/>
      <c r="H43" s="16"/>
      <c r="I43" s="16"/>
    </row>
    <row r="44" spans="2:9" x14ac:dyDescent="0.3">
      <c r="B44" t="s">
        <v>35</v>
      </c>
      <c r="C44" s="12"/>
      <c r="D44" s="12">
        <v>184352.07064002671</v>
      </c>
      <c r="E44" s="21"/>
      <c r="F44" s="16"/>
      <c r="G44" s="16"/>
      <c r="H44" s="16"/>
      <c r="I44" s="16"/>
    </row>
    <row r="45" spans="2:9" x14ac:dyDescent="0.3">
      <c r="B45" t="s">
        <v>36</v>
      </c>
      <c r="C45" s="12"/>
      <c r="D45" s="12">
        <v>15149921.137712076</v>
      </c>
      <c r="E45" s="21"/>
      <c r="F45" s="16"/>
      <c r="G45" s="16"/>
      <c r="H45" s="16"/>
      <c r="I45" s="16"/>
    </row>
    <row r="46" spans="2:9" ht="16.2" x14ac:dyDescent="0.45">
      <c r="B46" s="6" t="s">
        <v>38</v>
      </c>
      <c r="C46" s="13"/>
      <c r="D46" s="13">
        <v>37490207.308944985</v>
      </c>
      <c r="E46" s="22"/>
      <c r="F46" s="16"/>
      <c r="G46" s="16"/>
      <c r="H46" s="16"/>
      <c r="I46" s="16"/>
    </row>
    <row r="47" spans="2:9" x14ac:dyDescent="0.3">
      <c r="C47" s="12"/>
      <c r="D47" s="12"/>
      <c r="E47" s="21"/>
      <c r="F47" s="16"/>
      <c r="G47" s="16"/>
      <c r="H47" s="16"/>
      <c r="I47" s="16"/>
    </row>
    <row r="48" spans="2:9" x14ac:dyDescent="0.3">
      <c r="C48" s="12"/>
      <c r="D48" s="12"/>
      <c r="E48" s="21"/>
      <c r="F48" s="16"/>
      <c r="G48" s="16"/>
      <c r="H48" s="16"/>
      <c r="I48" s="16"/>
    </row>
    <row r="49" spans="2:9" x14ac:dyDescent="0.3">
      <c r="B49" t="s">
        <v>25</v>
      </c>
      <c r="C49" s="9"/>
      <c r="D49" s="9">
        <v>5557503.7823423054</v>
      </c>
      <c r="E49" s="15"/>
      <c r="F49" s="16"/>
      <c r="G49" s="16"/>
      <c r="H49" s="16"/>
      <c r="I49" s="16"/>
    </row>
    <row r="50" spans="2:9" x14ac:dyDescent="0.3">
      <c r="B50" t="s">
        <v>26</v>
      </c>
      <c r="C50" s="9"/>
      <c r="D50" s="9">
        <v>-9758661.3801494632</v>
      </c>
      <c r="E50" s="15"/>
      <c r="F50" s="16"/>
      <c r="G50" s="16"/>
      <c r="H50" s="16"/>
      <c r="I50" s="16"/>
    </row>
    <row r="51" spans="2:9" x14ac:dyDescent="0.3">
      <c r="B51" s="6" t="s">
        <v>27</v>
      </c>
      <c r="C51" s="14"/>
      <c r="D51" s="14">
        <f>+D46+D49+D50</f>
        <v>33289049.711137831</v>
      </c>
      <c r="E51" s="23"/>
      <c r="F51" s="16"/>
      <c r="G51" s="16"/>
      <c r="H51" s="16"/>
      <c r="I51" s="16"/>
    </row>
    <row r="52" spans="2:9" x14ac:dyDescent="0.3">
      <c r="C52" s="9"/>
      <c r="D52" s="9"/>
      <c r="E52" s="15"/>
      <c r="F52" s="16"/>
      <c r="G52" s="16"/>
      <c r="H52" s="16"/>
      <c r="I52" s="16"/>
    </row>
    <row r="53" spans="2:9" x14ac:dyDescent="0.3">
      <c r="B53" t="s">
        <v>31</v>
      </c>
      <c r="C53" s="9"/>
      <c r="D53" s="9">
        <v>63733287.844033599</v>
      </c>
      <c r="E53" s="15"/>
      <c r="F53" s="16"/>
      <c r="G53" s="16"/>
      <c r="H53" s="16"/>
      <c r="I53" s="16"/>
    </row>
    <row r="54" spans="2:9" x14ac:dyDescent="0.3">
      <c r="E54" s="16"/>
      <c r="F54" s="16"/>
      <c r="G54" s="16"/>
      <c r="H54" s="16"/>
      <c r="I54" s="16"/>
    </row>
    <row r="55" spans="2:9" x14ac:dyDescent="0.3">
      <c r="B55" s="7" t="s">
        <v>37</v>
      </c>
      <c r="C55" s="8"/>
      <c r="D55" s="8">
        <f>+D53/D51</f>
        <v>1.9145421211200797</v>
      </c>
      <c r="E55" s="24"/>
      <c r="F55" s="16"/>
      <c r="G55" s="16"/>
      <c r="H55" s="16"/>
      <c r="I55" s="16"/>
    </row>
    <row r="56" spans="2:9" x14ac:dyDescent="0.3">
      <c r="E56" s="16"/>
      <c r="F56" s="16"/>
      <c r="G56" s="16"/>
      <c r="H56" s="16"/>
      <c r="I56" s="16"/>
    </row>
    <row r="58" spans="2:9" x14ac:dyDescent="0.3">
      <c r="D58" s="26"/>
    </row>
    <row r="59" spans="2:9" x14ac:dyDescent="0.3">
      <c r="D59" s="26"/>
    </row>
    <row r="60" spans="2:9" x14ac:dyDescent="0.3">
      <c r="D60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1226-29E6-445E-9AAD-19745C1619CE}">
  <dimension ref="B1:I73"/>
  <sheetViews>
    <sheetView showGridLines="0" workbookViewId="0">
      <selection activeCell="B2" sqref="B2"/>
    </sheetView>
  </sheetViews>
  <sheetFormatPr defaultRowHeight="14.4" x14ac:dyDescent="0.3"/>
  <cols>
    <col min="1" max="1" width="4.33203125" customWidth="1"/>
    <col min="2" max="2" width="22.77734375" customWidth="1"/>
    <col min="3" max="3" width="13.88671875" bestFit="1" customWidth="1"/>
    <col min="4" max="4" width="17.77734375" bestFit="1" customWidth="1"/>
    <col min="5" max="5" width="13.88671875" bestFit="1" customWidth="1"/>
    <col min="6" max="6" width="40.77734375" customWidth="1"/>
  </cols>
  <sheetData>
    <row r="1" spans="2:9" x14ac:dyDescent="0.3">
      <c r="B1" s="5" t="s">
        <v>80</v>
      </c>
    </row>
    <row r="2" spans="2:9" x14ac:dyDescent="0.3">
      <c r="B2" s="2" t="s">
        <v>0</v>
      </c>
      <c r="C2" s="4" t="s">
        <v>87</v>
      </c>
      <c r="D2" s="4" t="s">
        <v>86</v>
      </c>
      <c r="E2" s="4" t="s">
        <v>29</v>
      </c>
      <c r="F2" s="4"/>
    </row>
    <row r="3" spans="2:9" x14ac:dyDescent="0.3">
      <c r="B3" t="s">
        <v>1</v>
      </c>
      <c r="C3" s="9">
        <f>+'Annual 2023 SCR'!D3</f>
        <v>874144.03979432583</v>
      </c>
      <c r="D3" s="9">
        <v>2373585.5523304939</v>
      </c>
      <c r="E3" s="15">
        <f>+D3-C3</f>
        <v>1499441.5125361681</v>
      </c>
      <c r="F3" s="16"/>
      <c r="G3" s="16"/>
      <c r="H3" s="16"/>
      <c r="I3" s="16"/>
    </row>
    <row r="4" spans="2:9" x14ac:dyDescent="0.3">
      <c r="B4" t="s">
        <v>2</v>
      </c>
      <c r="C4" s="9">
        <f>+'Annual 2023 SCR'!D4</f>
        <v>594263.52631316672</v>
      </c>
      <c r="D4" s="9">
        <v>514660.91891298548</v>
      </c>
      <c r="E4" s="15">
        <f t="shared" ref="E4:E9" si="0">+D4-C4</f>
        <v>-79602.607400181238</v>
      </c>
      <c r="F4" s="16"/>
      <c r="G4" s="16"/>
      <c r="H4" s="16"/>
      <c r="I4" s="16"/>
    </row>
    <row r="5" spans="2:9" x14ac:dyDescent="0.3">
      <c r="B5" t="s">
        <v>3</v>
      </c>
      <c r="C5" s="9">
        <f>+'Annual 2023 SCR'!D5</f>
        <v>0</v>
      </c>
      <c r="D5" s="9">
        <v>0</v>
      </c>
      <c r="E5" s="15">
        <f t="shared" si="0"/>
        <v>0</v>
      </c>
      <c r="F5" s="16"/>
      <c r="G5" s="16"/>
      <c r="H5" s="16"/>
      <c r="I5" s="16"/>
    </row>
    <row r="6" spans="2:9" x14ac:dyDescent="0.3">
      <c r="B6" t="s">
        <v>4</v>
      </c>
      <c r="C6" s="9">
        <f>+'Annual 2023 SCR'!D6</f>
        <v>328569.46479050815</v>
      </c>
      <c r="D6" s="9">
        <v>121491.2842294462</v>
      </c>
      <c r="E6" s="15">
        <f t="shared" si="0"/>
        <v>-207078.18056106195</v>
      </c>
      <c r="F6" s="16"/>
      <c r="G6" s="16"/>
      <c r="H6" s="16"/>
      <c r="I6" s="16"/>
    </row>
    <row r="7" spans="2:9" x14ac:dyDescent="0.3">
      <c r="B7" t="s">
        <v>5</v>
      </c>
      <c r="C7" s="9">
        <f>+'Annual 2023 SCR'!D7</f>
        <v>7689839.3986506499</v>
      </c>
      <c r="D7" s="9">
        <v>6040562.6465786994</v>
      </c>
      <c r="E7" s="15">
        <f t="shared" si="0"/>
        <v>-1649276.7520719506</v>
      </c>
      <c r="F7" s="16"/>
      <c r="G7" s="16"/>
      <c r="H7" s="16"/>
      <c r="I7" s="16"/>
    </row>
    <row r="8" spans="2:9" x14ac:dyDescent="0.3">
      <c r="B8" t="s">
        <v>6</v>
      </c>
      <c r="C8" s="9">
        <f>+'Annual 2023 SCR'!D8</f>
        <v>485172.02925160195</v>
      </c>
      <c r="D8" s="9">
        <v>53011.653933899906</v>
      </c>
      <c r="E8" s="15">
        <f t="shared" si="0"/>
        <v>-432160.37531770207</v>
      </c>
      <c r="F8" s="16"/>
      <c r="G8" s="16"/>
      <c r="H8" s="16"/>
      <c r="I8" s="16"/>
    </row>
    <row r="9" spans="2:9" ht="16.2" x14ac:dyDescent="0.45">
      <c r="B9" s="6" t="s">
        <v>7</v>
      </c>
      <c r="C9" s="10">
        <f>+'Annual 2023 SCR'!D9</f>
        <v>8233855.3769013602</v>
      </c>
      <c r="D9" s="10">
        <v>7182534.1381265065</v>
      </c>
      <c r="E9" s="17">
        <f t="shared" si="0"/>
        <v>-1051321.2387748538</v>
      </c>
      <c r="F9" s="16"/>
      <c r="G9" s="16"/>
      <c r="H9" s="16"/>
      <c r="I9" s="16"/>
    </row>
    <row r="10" spans="2:9" x14ac:dyDescent="0.3">
      <c r="C10" s="9"/>
      <c r="D10" s="9"/>
      <c r="E10" s="15"/>
      <c r="F10" s="16"/>
      <c r="G10" s="16"/>
      <c r="H10" s="16"/>
      <c r="I10" s="16"/>
    </row>
    <row r="11" spans="2:9" x14ac:dyDescent="0.3">
      <c r="B11" s="2" t="s">
        <v>8</v>
      </c>
      <c r="C11" s="11" t="str">
        <f>+C2</f>
        <v>Annual 2023</v>
      </c>
      <c r="D11" s="11" t="str">
        <f>+D2</f>
        <v>Q1 2024</v>
      </c>
      <c r="E11" s="18" t="s">
        <v>29</v>
      </c>
      <c r="F11" s="19"/>
      <c r="G11" s="16"/>
      <c r="H11" s="16"/>
      <c r="I11" s="16"/>
    </row>
    <row r="12" spans="2:9" x14ac:dyDescent="0.3">
      <c r="B12" t="s">
        <v>9</v>
      </c>
      <c r="C12" s="9">
        <f>+'Annual 2023 SCR'!D12</f>
        <v>12531344.039548784</v>
      </c>
      <c r="D12" s="9">
        <v>10564214.686787101</v>
      </c>
      <c r="E12" s="15">
        <f t="shared" ref="E12:E14" si="1">+D12-C12</f>
        <v>-1967129.352761684</v>
      </c>
      <c r="F12" s="16"/>
      <c r="G12" s="16"/>
      <c r="H12" s="16"/>
      <c r="I12" s="16"/>
    </row>
    <row r="13" spans="2:9" x14ac:dyDescent="0.3">
      <c r="B13" t="s">
        <v>10</v>
      </c>
      <c r="C13" s="9">
        <f>+'Annual 2023 SCR'!D13</f>
        <v>12340928.864327416</v>
      </c>
      <c r="D13" s="9">
        <v>15978077.210001931</v>
      </c>
      <c r="E13" s="15">
        <f t="shared" si="1"/>
        <v>3637148.3456745148</v>
      </c>
      <c r="F13" s="25"/>
      <c r="G13" s="16"/>
      <c r="H13" s="16"/>
      <c r="I13" s="16"/>
    </row>
    <row r="14" spans="2:9" ht="16.2" x14ac:dyDescent="0.45">
      <c r="B14" s="6" t="s">
        <v>7</v>
      </c>
      <c r="C14" s="10">
        <f>+'Annual 2023 SCR'!D14</f>
        <v>23265978.310005616</v>
      </c>
      <c r="D14" s="10">
        <v>24901713.599069692</v>
      </c>
      <c r="E14" s="17">
        <f t="shared" si="1"/>
        <v>1635735.2890640758</v>
      </c>
      <c r="F14" s="16"/>
      <c r="G14" s="16"/>
      <c r="H14" s="16"/>
      <c r="I14" s="16"/>
    </row>
    <row r="15" spans="2:9" x14ac:dyDescent="0.3">
      <c r="C15" s="1"/>
      <c r="D15" s="1"/>
      <c r="E15" s="20"/>
      <c r="F15" s="16"/>
      <c r="G15" s="16"/>
      <c r="H15" s="16"/>
      <c r="I15" s="16"/>
    </row>
    <row r="16" spans="2:9" x14ac:dyDescent="0.3">
      <c r="B16" s="2" t="s">
        <v>11</v>
      </c>
      <c r="C16" s="11" t="str">
        <f>+C11</f>
        <v>Annual 2023</v>
      </c>
      <c r="D16" s="11" t="str">
        <f>+D11</f>
        <v>Q1 2024</v>
      </c>
      <c r="E16" s="19" t="s">
        <v>29</v>
      </c>
      <c r="F16" s="19"/>
      <c r="G16" s="16"/>
      <c r="H16" s="16"/>
      <c r="I16" s="16"/>
    </row>
    <row r="17" spans="2:9" x14ac:dyDescent="0.3">
      <c r="B17" t="s">
        <v>12</v>
      </c>
      <c r="C17" s="9">
        <f>+'Annual 2023 SCR'!D17</f>
        <v>12340250.602288991</v>
      </c>
      <c r="D17" s="9">
        <v>11243144.223743619</v>
      </c>
      <c r="E17" s="15">
        <f t="shared" ref="E17:E20" si="2">+D17-C17</f>
        <v>-1097106.3785453718</v>
      </c>
      <c r="F17" s="16"/>
      <c r="G17" s="16"/>
      <c r="H17" s="16"/>
      <c r="I17" s="16"/>
    </row>
    <row r="18" spans="2:9" x14ac:dyDescent="0.3">
      <c r="B18" t="s">
        <v>13</v>
      </c>
      <c r="C18" s="9">
        <f>+'Annual 2023 SCR'!D18</f>
        <v>0</v>
      </c>
      <c r="D18" s="9">
        <v>0</v>
      </c>
      <c r="E18" s="15">
        <f t="shared" si="2"/>
        <v>0</v>
      </c>
      <c r="F18" s="16"/>
      <c r="G18" s="16"/>
      <c r="H18" s="16"/>
      <c r="I18" s="16"/>
    </row>
    <row r="19" spans="2:9" x14ac:dyDescent="0.3">
      <c r="B19" t="s">
        <v>14</v>
      </c>
      <c r="C19" s="9">
        <f>+'Annual 2023 SCR'!D19</f>
        <v>6229224.0698136585</v>
      </c>
      <c r="D19" s="9">
        <v>5338439.6671361234</v>
      </c>
      <c r="E19" s="15">
        <f t="shared" si="2"/>
        <v>-890784.40267753508</v>
      </c>
      <c r="F19" s="16"/>
      <c r="G19" s="16"/>
      <c r="H19" s="16"/>
      <c r="I19" s="16"/>
    </row>
    <row r="20" spans="2:9" ht="16.2" x14ac:dyDescent="0.45">
      <c r="B20" s="6" t="s">
        <v>7</v>
      </c>
      <c r="C20" s="10">
        <f>+'Annual 2023 SCR'!D20</f>
        <v>15149921.137712076</v>
      </c>
      <c r="D20" s="10">
        <v>13598443.060484337</v>
      </c>
      <c r="E20" s="17">
        <f t="shared" si="2"/>
        <v>-1551478.0772277396</v>
      </c>
      <c r="F20" s="16"/>
      <c r="G20" s="16"/>
      <c r="H20" s="16"/>
      <c r="I20" s="16"/>
    </row>
    <row r="21" spans="2:9" x14ac:dyDescent="0.3">
      <c r="C21" s="9"/>
      <c r="D21" s="9"/>
      <c r="E21" s="15"/>
      <c r="F21" s="16"/>
      <c r="G21" s="16"/>
      <c r="H21" s="16"/>
      <c r="I21" s="16"/>
    </row>
    <row r="22" spans="2:9" x14ac:dyDescent="0.3">
      <c r="B22" s="2" t="s">
        <v>15</v>
      </c>
      <c r="C22" s="11" t="str">
        <f>+C16</f>
        <v>Annual 2023</v>
      </c>
      <c r="D22" s="11" t="str">
        <f>+D16</f>
        <v>Q1 2024</v>
      </c>
      <c r="E22" s="18" t="s">
        <v>29</v>
      </c>
      <c r="F22" s="19"/>
      <c r="G22" s="16"/>
      <c r="H22" s="16"/>
      <c r="I22" s="16"/>
    </row>
    <row r="23" spans="2:9" x14ac:dyDescent="0.3">
      <c r="B23" t="s">
        <v>16</v>
      </c>
      <c r="C23" s="9">
        <f>+'Annual 2023 SCR'!D23</f>
        <v>599636.95036140457</v>
      </c>
      <c r="D23" s="9">
        <v>1572011.9669472128</v>
      </c>
      <c r="E23" s="15">
        <f t="shared" ref="E23:E30" si="3">+D23-C23</f>
        <v>972375.01658580825</v>
      </c>
      <c r="F23" s="16"/>
      <c r="G23" s="16"/>
      <c r="H23" s="16"/>
      <c r="I23" s="16"/>
    </row>
    <row r="24" spans="2:9" x14ac:dyDescent="0.3">
      <c r="B24" t="s">
        <v>17</v>
      </c>
      <c r="C24" s="9">
        <f>+'Annual 2023 SCR'!D24</f>
        <v>0</v>
      </c>
      <c r="D24" s="9">
        <v>0</v>
      </c>
      <c r="E24" s="15">
        <f t="shared" si="3"/>
        <v>0</v>
      </c>
      <c r="F24" s="16"/>
      <c r="G24" s="16"/>
      <c r="H24" s="16"/>
      <c r="I24" s="16"/>
    </row>
    <row r="25" spans="2:9" x14ac:dyDescent="0.3">
      <c r="B25" t="s">
        <v>18</v>
      </c>
      <c r="C25" s="9">
        <f>+'Annual 2023 SCR'!D25</f>
        <v>684238.60026022419</v>
      </c>
      <c r="D25" s="9">
        <v>765136.19709983468</v>
      </c>
      <c r="E25" s="15">
        <f t="shared" si="3"/>
        <v>80897.596839610487</v>
      </c>
      <c r="F25" s="16"/>
      <c r="G25" s="16"/>
      <c r="H25" s="16"/>
      <c r="I25" s="16"/>
    </row>
    <row r="26" spans="2:9" x14ac:dyDescent="0.3">
      <c r="B26" t="s">
        <v>19</v>
      </c>
      <c r="C26" s="9">
        <f>+'Annual 2023 SCR'!D26</f>
        <v>436058.42093189061</v>
      </c>
      <c r="D26" s="9">
        <v>287742.47742590308</v>
      </c>
      <c r="E26" s="15">
        <f t="shared" si="3"/>
        <v>-148315.94350598752</v>
      </c>
      <c r="F26" s="16"/>
      <c r="G26" s="16"/>
      <c r="H26" s="16"/>
      <c r="I26" s="16"/>
    </row>
    <row r="27" spans="2:9" x14ac:dyDescent="0.3">
      <c r="B27" t="s">
        <v>20</v>
      </c>
      <c r="C27" s="9">
        <f>+'Annual 2023 SCR'!D27</f>
        <v>144468.16801141575</v>
      </c>
      <c r="D27" s="9">
        <v>144468.16959999874</v>
      </c>
      <c r="E27" s="15">
        <f t="shared" si="3"/>
        <v>1.5885829925537109E-3</v>
      </c>
      <c r="F27" s="16"/>
      <c r="G27" s="16"/>
      <c r="H27" s="16"/>
      <c r="I27" s="16"/>
    </row>
    <row r="28" spans="2:9" x14ac:dyDescent="0.3">
      <c r="B28" t="s">
        <v>21</v>
      </c>
      <c r="C28" s="9">
        <f>+'Annual 2023 SCR'!D28</f>
        <v>0</v>
      </c>
      <c r="D28" s="9">
        <v>0</v>
      </c>
      <c r="E28" s="15">
        <f t="shared" si="3"/>
        <v>0</v>
      </c>
      <c r="F28" s="16"/>
      <c r="G28" s="16"/>
      <c r="H28" s="16"/>
      <c r="I28" s="16"/>
    </row>
    <row r="29" spans="2:9" x14ac:dyDescent="0.3">
      <c r="B29" t="s">
        <v>22</v>
      </c>
      <c r="C29" s="9">
        <f>+'Annual 2023 SCR'!D29</f>
        <v>2161439.5465994999</v>
      </c>
      <c r="D29" s="9">
        <v>1735068.0438824967</v>
      </c>
      <c r="E29" s="15">
        <f t="shared" si="3"/>
        <v>-426371.50271700323</v>
      </c>
      <c r="F29" s="16"/>
      <c r="G29" s="16"/>
      <c r="H29" s="16"/>
      <c r="I29" s="16"/>
    </row>
    <row r="30" spans="2:9" ht="16.2" x14ac:dyDescent="0.45">
      <c r="B30" s="6" t="s">
        <v>7</v>
      </c>
      <c r="C30" s="10">
        <f>+'Annual 2023 SCR'!D30</f>
        <v>2852330.7945413385</v>
      </c>
      <c r="D30" s="10">
        <v>3072516.5327286017</v>
      </c>
      <c r="E30" s="17">
        <f t="shared" si="3"/>
        <v>220185.73818726325</v>
      </c>
      <c r="F30" s="16"/>
      <c r="G30" s="16"/>
      <c r="H30" s="16"/>
      <c r="I30" s="16"/>
    </row>
    <row r="31" spans="2:9" x14ac:dyDescent="0.3">
      <c r="C31" s="9"/>
      <c r="D31" s="9"/>
      <c r="E31" s="15"/>
      <c r="F31" s="16"/>
      <c r="G31" s="16"/>
      <c r="H31" s="16"/>
      <c r="I31" s="16"/>
    </row>
    <row r="32" spans="2:9" x14ac:dyDescent="0.3">
      <c r="B32" s="2" t="s">
        <v>23</v>
      </c>
      <c r="C32" s="11" t="str">
        <f>+C22</f>
        <v>Annual 2023</v>
      </c>
      <c r="D32" s="11" t="str">
        <f>+D22</f>
        <v>Q1 2024</v>
      </c>
      <c r="E32" s="18" t="s">
        <v>29</v>
      </c>
      <c r="F32" s="19"/>
      <c r="G32" s="16"/>
      <c r="H32" s="16"/>
      <c r="I32" s="16"/>
    </row>
    <row r="33" spans="2:9" x14ac:dyDescent="0.3">
      <c r="B33" t="s">
        <v>12</v>
      </c>
      <c r="C33" s="9">
        <f>+'Annual 2023 SCR'!D33</f>
        <v>184352.07064002671</v>
      </c>
      <c r="D33" s="9">
        <v>10800.927891154239</v>
      </c>
      <c r="E33" s="15">
        <f t="shared" ref="E33:E35" si="4">+D33-C33</f>
        <v>-173551.14274887246</v>
      </c>
      <c r="F33" s="16"/>
      <c r="G33" s="16"/>
      <c r="H33" s="16"/>
      <c r="I33" s="16"/>
    </row>
    <row r="34" spans="2:9" x14ac:dyDescent="0.3">
      <c r="B34" t="s">
        <v>14</v>
      </c>
      <c r="C34" s="9">
        <f>+'Annual 2023 SCR'!D34</f>
        <v>0</v>
      </c>
      <c r="D34" s="9">
        <v>0</v>
      </c>
      <c r="E34" s="15">
        <f t="shared" si="4"/>
        <v>0</v>
      </c>
      <c r="F34" s="16"/>
      <c r="G34" s="16"/>
      <c r="H34" s="16"/>
      <c r="I34" s="16"/>
    </row>
    <row r="35" spans="2:9" ht="16.2" x14ac:dyDescent="0.45">
      <c r="B35" s="6" t="s">
        <v>7</v>
      </c>
      <c r="C35" s="10">
        <f>+'Annual 2023 SCR'!D35</f>
        <v>184352.07064002671</v>
      </c>
      <c r="D35" s="10">
        <v>10800.927891154239</v>
      </c>
      <c r="E35" s="17">
        <f t="shared" si="4"/>
        <v>-173551.14274887246</v>
      </c>
      <c r="F35" s="16"/>
      <c r="G35" s="16"/>
      <c r="H35" s="16"/>
      <c r="I35" s="16"/>
    </row>
    <row r="36" spans="2:9" x14ac:dyDescent="0.3">
      <c r="B36" s="3"/>
      <c r="C36" s="9"/>
      <c r="D36" s="9"/>
      <c r="E36" s="15"/>
      <c r="F36" s="16"/>
      <c r="G36" s="16"/>
      <c r="H36" s="16"/>
      <c r="I36" s="16"/>
    </row>
    <row r="37" spans="2:9" x14ac:dyDescent="0.3">
      <c r="B37" s="3"/>
      <c r="C37" s="9"/>
      <c r="D37" s="9"/>
      <c r="E37" s="15"/>
      <c r="F37" s="16"/>
      <c r="G37" s="16"/>
      <c r="H37" s="16"/>
      <c r="I37" s="16"/>
    </row>
    <row r="38" spans="2:9" x14ac:dyDescent="0.3">
      <c r="C38" s="12"/>
      <c r="D38" s="12"/>
      <c r="E38" s="21"/>
      <c r="F38" s="16"/>
      <c r="G38" s="16"/>
      <c r="H38" s="16"/>
      <c r="I38" s="16"/>
    </row>
    <row r="39" spans="2:9" x14ac:dyDescent="0.3">
      <c r="B39" s="5" t="s">
        <v>79</v>
      </c>
      <c r="C39" s="12"/>
      <c r="D39" s="12"/>
      <c r="E39" s="21"/>
      <c r="F39" s="16"/>
      <c r="G39" s="16"/>
      <c r="H39" s="16"/>
      <c r="I39" s="16"/>
    </row>
    <row r="40" spans="2:9" x14ac:dyDescent="0.3">
      <c r="B40" s="4" t="s">
        <v>24</v>
      </c>
      <c r="C40" s="11" t="str">
        <f>+C32</f>
        <v>Annual 2023</v>
      </c>
      <c r="D40" s="11" t="str">
        <f>+D32</f>
        <v>Q1 2024</v>
      </c>
      <c r="E40" s="18" t="s">
        <v>29</v>
      </c>
      <c r="F40" s="19"/>
      <c r="G40" s="16"/>
      <c r="H40" s="16"/>
      <c r="I40" s="16"/>
    </row>
    <row r="41" spans="2:9" x14ac:dyDescent="0.3">
      <c r="B41" t="s">
        <v>32</v>
      </c>
      <c r="C41" s="12">
        <f>+'Annual 2023 SCR'!D41</f>
        <v>8233855.3769013602</v>
      </c>
      <c r="D41" s="12">
        <v>7182534.1381265065</v>
      </c>
      <c r="E41" s="21">
        <f t="shared" ref="E41:E46" si="5">+D41-C41</f>
        <v>-1051321.2387748538</v>
      </c>
      <c r="F41" s="16"/>
      <c r="G41" s="16"/>
      <c r="H41" s="16"/>
      <c r="I41" s="16"/>
    </row>
    <row r="42" spans="2:9" x14ac:dyDescent="0.3">
      <c r="B42" t="s">
        <v>33</v>
      </c>
      <c r="C42" s="12">
        <f>+'Annual 2023 SCR'!D42</f>
        <v>23265978.310005616</v>
      </c>
      <c r="D42" s="12">
        <v>24901713.599069692</v>
      </c>
      <c r="E42" s="21">
        <f t="shared" si="5"/>
        <v>1635735.2890640758</v>
      </c>
      <c r="F42" s="16"/>
      <c r="G42" s="16"/>
      <c r="H42" s="16"/>
      <c r="I42" s="16"/>
    </row>
    <row r="43" spans="2:9" x14ac:dyDescent="0.3">
      <c r="B43" t="s">
        <v>34</v>
      </c>
      <c r="C43" s="12">
        <f>+'Annual 2023 SCR'!D43</f>
        <v>2852330.7945413385</v>
      </c>
      <c r="D43" s="12">
        <v>3072516.5327286017</v>
      </c>
      <c r="E43" s="21">
        <f t="shared" si="5"/>
        <v>220185.73818726325</v>
      </c>
      <c r="F43" s="16"/>
      <c r="G43" s="16"/>
      <c r="H43" s="16"/>
      <c r="I43" s="16"/>
    </row>
    <row r="44" spans="2:9" x14ac:dyDescent="0.3">
      <c r="B44" t="s">
        <v>35</v>
      </c>
      <c r="C44" s="12">
        <f>+'Annual 2023 SCR'!D44</f>
        <v>184352.07064002671</v>
      </c>
      <c r="D44" s="12">
        <v>10800.927891154239</v>
      </c>
      <c r="E44" s="21">
        <f t="shared" si="5"/>
        <v>-173551.14274887246</v>
      </c>
      <c r="F44" s="16"/>
      <c r="G44" s="16"/>
      <c r="H44" s="16"/>
      <c r="I44" s="16"/>
    </row>
    <row r="45" spans="2:9" x14ac:dyDescent="0.3">
      <c r="B45" t="s">
        <v>36</v>
      </c>
      <c r="C45" s="12">
        <f>+'Annual 2023 SCR'!D45</f>
        <v>15149921.137712076</v>
      </c>
      <c r="D45" s="12">
        <v>13598443.060484337</v>
      </c>
      <c r="E45" s="21">
        <f t="shared" si="5"/>
        <v>-1551478.0772277396</v>
      </c>
      <c r="F45" s="16"/>
      <c r="G45" s="16"/>
      <c r="H45" s="16"/>
      <c r="I45" s="16"/>
    </row>
    <row r="46" spans="2:9" ht="16.2" x14ac:dyDescent="0.45">
      <c r="B46" s="6" t="s">
        <v>38</v>
      </c>
      <c r="C46" s="13">
        <f>+'Annual 2023 SCR'!D46</f>
        <v>37490207.308944985</v>
      </c>
      <c r="D46" s="13">
        <v>37315019.735804975</v>
      </c>
      <c r="E46" s="22">
        <f t="shared" si="5"/>
        <v>-175187.57314001024</v>
      </c>
      <c r="F46" s="16"/>
      <c r="G46" s="16"/>
      <c r="H46" s="16"/>
      <c r="I46" s="16"/>
    </row>
    <row r="47" spans="2:9" x14ac:dyDescent="0.3">
      <c r="C47" s="12"/>
      <c r="D47" s="12"/>
      <c r="E47" s="21"/>
      <c r="F47" s="16"/>
      <c r="G47" s="16"/>
      <c r="H47" s="16"/>
      <c r="I47" s="16"/>
    </row>
    <row r="48" spans="2:9" x14ac:dyDescent="0.3">
      <c r="C48" s="12"/>
      <c r="D48" s="12"/>
      <c r="E48" s="21"/>
      <c r="F48" s="16"/>
      <c r="G48" s="16"/>
      <c r="H48" s="16"/>
      <c r="I48" s="16"/>
    </row>
    <row r="49" spans="2:9" x14ac:dyDescent="0.3">
      <c r="B49" t="s">
        <v>25</v>
      </c>
      <c r="C49" s="9">
        <f>+'Annual 2023 SCR'!D49</f>
        <v>5557503.7823423054</v>
      </c>
      <c r="D49" s="9">
        <v>5183192.2352515394</v>
      </c>
      <c r="E49" s="15">
        <f t="shared" ref="E49:E51" si="6">+D49-C49</f>
        <v>-374311.54709076602</v>
      </c>
      <c r="F49" s="16"/>
      <c r="G49" s="16"/>
      <c r="H49" s="16"/>
      <c r="I49" s="16"/>
    </row>
    <row r="50" spans="2:9" x14ac:dyDescent="0.3">
      <c r="B50" t="s">
        <v>26</v>
      </c>
      <c r="C50" s="9">
        <f>+'Annual 2023 SCR'!D50</f>
        <v>-9758661.3801494632</v>
      </c>
      <c r="D50" s="9">
        <v>-9037628.980247451</v>
      </c>
      <c r="E50" s="15">
        <f t="shared" si="6"/>
        <v>721032.3999020122</v>
      </c>
      <c r="F50" s="16"/>
      <c r="G50" s="16"/>
      <c r="H50" s="16"/>
      <c r="I50" s="16"/>
    </row>
    <row r="51" spans="2:9" x14ac:dyDescent="0.3">
      <c r="B51" s="6" t="s">
        <v>27</v>
      </c>
      <c r="C51" s="14">
        <f>+'Annual 2023 SCR'!D51</f>
        <v>33289049.711137831</v>
      </c>
      <c r="D51" s="14">
        <f>+D46+D49+D50</f>
        <v>33460582.990809061</v>
      </c>
      <c r="E51" s="23">
        <f t="shared" si="6"/>
        <v>171533.27967122942</v>
      </c>
      <c r="F51" s="16"/>
      <c r="G51" s="16"/>
      <c r="H51" s="16"/>
      <c r="I51" s="16"/>
    </row>
    <row r="52" spans="2:9" x14ac:dyDescent="0.3">
      <c r="C52" s="9"/>
      <c r="D52" s="9"/>
      <c r="E52" s="15"/>
      <c r="F52" s="16"/>
      <c r="G52" s="16"/>
      <c r="H52" s="16"/>
      <c r="I52" s="16"/>
    </row>
    <row r="53" spans="2:9" x14ac:dyDescent="0.3">
      <c r="B53" t="s">
        <v>31</v>
      </c>
      <c r="C53" s="9">
        <f>+'Annual 2023 SCR'!D53</f>
        <v>63733287.844033599</v>
      </c>
      <c r="D53" s="9">
        <v>56422951.375054061</v>
      </c>
      <c r="E53" s="15">
        <f>+D53-C53</f>
        <v>-7310336.4689795375</v>
      </c>
      <c r="F53" s="16"/>
      <c r="G53" s="16"/>
      <c r="H53" s="16"/>
      <c r="I53" s="16"/>
    </row>
    <row r="54" spans="2:9" x14ac:dyDescent="0.3">
      <c r="E54" s="16"/>
      <c r="F54" s="16"/>
      <c r="G54" s="16"/>
      <c r="H54" s="16"/>
      <c r="I54" s="16"/>
    </row>
    <row r="55" spans="2:9" x14ac:dyDescent="0.3">
      <c r="B55" s="7" t="s">
        <v>37</v>
      </c>
      <c r="C55" s="8">
        <f>+C53/C51</f>
        <v>1.9145421211200797</v>
      </c>
      <c r="D55" s="8">
        <f>+D53/D51</f>
        <v>1.6862512942632319</v>
      </c>
      <c r="E55" s="31">
        <f>+D55-C55</f>
        <v>-0.22829082685684776</v>
      </c>
      <c r="F55" s="16"/>
      <c r="G55" s="16"/>
      <c r="H55" s="16"/>
      <c r="I55" s="16"/>
    </row>
    <row r="56" spans="2:9" x14ac:dyDescent="0.3">
      <c r="E56" s="16"/>
      <c r="F56" s="16"/>
      <c r="G56" s="16"/>
      <c r="H56" s="16"/>
      <c r="I56" s="16"/>
    </row>
    <row r="58" spans="2:9" x14ac:dyDescent="0.3">
      <c r="D58" s="26"/>
    </row>
    <row r="59" spans="2:9" x14ac:dyDescent="0.3">
      <c r="D59" s="26"/>
    </row>
    <row r="60" spans="2:9" x14ac:dyDescent="0.3">
      <c r="D60" s="27"/>
    </row>
    <row r="64" spans="2:9" x14ac:dyDescent="0.3">
      <c r="B64" s="4" t="s">
        <v>39</v>
      </c>
      <c r="C64" s="11">
        <f>+C51</f>
        <v>33289049.711137831</v>
      </c>
    </row>
    <row r="65" spans="2:3" x14ac:dyDescent="0.3">
      <c r="B65" t="s">
        <v>40</v>
      </c>
      <c r="C65" s="12">
        <f>+E41</f>
        <v>-1051321.2387748538</v>
      </c>
    </row>
    <row r="66" spans="2:3" x14ac:dyDescent="0.3">
      <c r="B66" t="s">
        <v>41</v>
      </c>
      <c r="C66" s="12">
        <f t="shared" ref="C66:C69" si="7">+E42</f>
        <v>1635735.2890640758</v>
      </c>
    </row>
    <row r="67" spans="2:3" x14ac:dyDescent="0.3">
      <c r="B67" t="s">
        <v>42</v>
      </c>
      <c r="C67" s="12">
        <f t="shared" si="7"/>
        <v>220185.73818726325</v>
      </c>
    </row>
    <row r="68" spans="2:3" x14ac:dyDescent="0.3">
      <c r="B68" t="s">
        <v>43</v>
      </c>
      <c r="C68" s="12">
        <f t="shared" si="7"/>
        <v>-173551.14274887246</v>
      </c>
    </row>
    <row r="69" spans="2:3" x14ac:dyDescent="0.3">
      <c r="B69" t="s">
        <v>44</v>
      </c>
      <c r="C69" s="12">
        <f t="shared" si="7"/>
        <v>-1551478.0772277396</v>
      </c>
    </row>
    <row r="70" spans="2:3" x14ac:dyDescent="0.3">
      <c r="B70" t="s">
        <v>45</v>
      </c>
      <c r="C70" s="12">
        <f>-SUM(E41:E45)+E46</f>
        <v>745241.8583601166</v>
      </c>
    </row>
    <row r="71" spans="2:3" x14ac:dyDescent="0.3">
      <c r="B71" t="s">
        <v>46</v>
      </c>
      <c r="C71" s="12">
        <f>+E49</f>
        <v>-374311.54709076602</v>
      </c>
    </row>
    <row r="72" spans="2:3" x14ac:dyDescent="0.3">
      <c r="B72" t="s">
        <v>47</v>
      </c>
      <c r="C72" s="12">
        <f>+E50</f>
        <v>721032.3999020122</v>
      </c>
    </row>
    <row r="73" spans="2:3" x14ac:dyDescent="0.3">
      <c r="B73" s="4" t="s">
        <v>81</v>
      </c>
      <c r="C73" s="11">
        <f>+SUM(C64:C72)</f>
        <v>33460582.990809064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2D831-61EF-4521-B956-9176CA1BA26C}">
  <dimension ref="B1:I73"/>
  <sheetViews>
    <sheetView showGridLines="0" topLeftCell="A18" workbookViewId="0">
      <selection activeCell="E55" sqref="E55"/>
    </sheetView>
  </sheetViews>
  <sheetFormatPr defaultRowHeight="14.4" x14ac:dyDescent="0.3"/>
  <cols>
    <col min="1" max="1" width="4.33203125" customWidth="1"/>
    <col min="2" max="2" width="22.77734375" customWidth="1"/>
    <col min="3" max="3" width="13.88671875" bestFit="1" customWidth="1"/>
    <col min="4" max="4" width="17.77734375" bestFit="1" customWidth="1"/>
    <col min="5" max="5" width="13.88671875" bestFit="1" customWidth="1"/>
    <col min="6" max="6" width="40.77734375" customWidth="1"/>
  </cols>
  <sheetData>
    <row r="1" spans="2:9" x14ac:dyDescent="0.3">
      <c r="B1" s="5" t="s">
        <v>80</v>
      </c>
    </row>
    <row r="2" spans="2:9" x14ac:dyDescent="0.3">
      <c r="B2" s="2" t="s">
        <v>0</v>
      </c>
      <c r="C2" s="4" t="s">
        <v>86</v>
      </c>
      <c r="D2" s="4" t="s">
        <v>85</v>
      </c>
      <c r="E2" s="4" t="s">
        <v>29</v>
      </c>
      <c r="F2" s="4"/>
    </row>
    <row r="3" spans="2:9" x14ac:dyDescent="0.3">
      <c r="B3" t="s">
        <v>1</v>
      </c>
      <c r="C3" s="9">
        <f>+'Q1 2024 SCR'!D3</f>
        <v>2373585.5523304939</v>
      </c>
      <c r="D3" s="9">
        <v>2793350.5353597403</v>
      </c>
      <c r="E3" s="15">
        <f>+D3-C3</f>
        <v>419764.98302924633</v>
      </c>
      <c r="F3" s="16"/>
      <c r="G3" s="16"/>
      <c r="H3" s="16"/>
      <c r="I3" s="16"/>
    </row>
    <row r="4" spans="2:9" x14ac:dyDescent="0.3">
      <c r="B4" t="s">
        <v>2</v>
      </c>
      <c r="C4" s="9">
        <f>+'Q1 2024 SCR'!D4</f>
        <v>514660.91891298548</v>
      </c>
      <c r="D4" s="9">
        <v>602417.7657175127</v>
      </c>
      <c r="E4" s="15">
        <f t="shared" ref="E4:E9" si="0">+D4-C4</f>
        <v>87756.846804527217</v>
      </c>
      <c r="F4" s="16"/>
      <c r="G4" s="16"/>
      <c r="H4" s="16"/>
      <c r="I4" s="16"/>
    </row>
    <row r="5" spans="2:9" x14ac:dyDescent="0.3">
      <c r="B5" t="s">
        <v>3</v>
      </c>
      <c r="C5" s="9">
        <f>+'Q1 2024 SCR'!D5</f>
        <v>0</v>
      </c>
      <c r="D5" s="9">
        <v>0</v>
      </c>
      <c r="E5" s="15">
        <f t="shared" si="0"/>
        <v>0</v>
      </c>
      <c r="F5" s="16"/>
      <c r="G5" s="16"/>
      <c r="H5" s="16"/>
      <c r="I5" s="16"/>
    </row>
    <row r="6" spans="2:9" x14ac:dyDescent="0.3">
      <c r="B6" t="s">
        <v>4</v>
      </c>
      <c r="C6" s="9">
        <f>+'Q1 2024 SCR'!D6</f>
        <v>121491.2842294462</v>
      </c>
      <c r="D6" s="9">
        <v>113981.10924657062</v>
      </c>
      <c r="E6" s="15">
        <f t="shared" si="0"/>
        <v>-7510.1749828755856</v>
      </c>
      <c r="F6" s="16"/>
      <c r="G6" s="16"/>
      <c r="H6" s="16"/>
      <c r="I6" s="16"/>
    </row>
    <row r="7" spans="2:9" x14ac:dyDescent="0.3">
      <c r="B7" t="s">
        <v>5</v>
      </c>
      <c r="C7" s="9">
        <f>+'Q1 2024 SCR'!D7</f>
        <v>6040562.6465786994</v>
      </c>
      <c r="D7" s="9">
        <v>9860504.0945240781</v>
      </c>
      <c r="E7" s="15">
        <f t="shared" si="0"/>
        <v>3819941.4479453787</v>
      </c>
      <c r="F7" s="16"/>
      <c r="G7" s="16"/>
      <c r="H7" s="16"/>
      <c r="I7" s="16"/>
    </row>
    <row r="8" spans="2:9" x14ac:dyDescent="0.3">
      <c r="B8" t="s">
        <v>6</v>
      </c>
      <c r="C8" s="9">
        <f>+'Q1 2024 SCR'!D8</f>
        <v>53011.653933899906</v>
      </c>
      <c r="D8" s="9">
        <v>59228.138822231653</v>
      </c>
      <c r="E8" s="15">
        <f t="shared" si="0"/>
        <v>6216.4848883317463</v>
      </c>
      <c r="F8" s="16"/>
      <c r="G8" s="16"/>
      <c r="H8" s="16"/>
      <c r="I8" s="16"/>
    </row>
    <row r="9" spans="2:9" ht="16.2" x14ac:dyDescent="0.45">
      <c r="B9" s="6" t="s">
        <v>7</v>
      </c>
      <c r="C9" s="10">
        <f>+'Q1 2024 SCR'!D9</f>
        <v>7182534.1381265065</v>
      </c>
      <c r="D9" s="10">
        <v>11082359.8851978</v>
      </c>
      <c r="E9" s="17">
        <f t="shared" si="0"/>
        <v>3899825.7470712932</v>
      </c>
      <c r="F9" s="16"/>
      <c r="G9" s="16"/>
      <c r="H9" s="16"/>
      <c r="I9" s="16"/>
    </row>
    <row r="10" spans="2:9" x14ac:dyDescent="0.3">
      <c r="C10" s="9"/>
      <c r="D10" s="9"/>
      <c r="E10" s="15"/>
      <c r="F10" s="16"/>
      <c r="G10" s="16"/>
      <c r="H10" s="16"/>
      <c r="I10" s="16"/>
    </row>
    <row r="11" spans="2:9" x14ac:dyDescent="0.3">
      <c r="B11" s="2" t="s">
        <v>8</v>
      </c>
      <c r="C11" s="11" t="str">
        <f>+C2</f>
        <v>Q1 2024</v>
      </c>
      <c r="D11" s="11" t="str">
        <f>+D2</f>
        <v>Q2 2024</v>
      </c>
      <c r="E11" s="18" t="s">
        <v>29</v>
      </c>
      <c r="F11" s="19"/>
      <c r="G11" s="16"/>
      <c r="H11" s="16"/>
      <c r="I11" s="16"/>
    </row>
    <row r="12" spans="2:9" x14ac:dyDescent="0.3">
      <c r="B12" t="s">
        <v>9</v>
      </c>
      <c r="C12" s="9">
        <f>+'Q1 2024 SCR'!D12</f>
        <v>10564214.686787101</v>
      </c>
      <c r="D12" s="9">
        <v>11975467.393952083</v>
      </c>
      <c r="E12" s="15">
        <f t="shared" ref="E12:E14" si="1">+D12-C12</f>
        <v>1411252.7071649823</v>
      </c>
      <c r="F12" s="16"/>
      <c r="G12" s="16"/>
      <c r="H12" s="16"/>
      <c r="I12" s="16"/>
    </row>
    <row r="13" spans="2:9" x14ac:dyDescent="0.3">
      <c r="B13" t="s">
        <v>10</v>
      </c>
      <c r="C13" s="9">
        <f>+'Q1 2024 SCR'!D13</f>
        <v>15978077.210001931</v>
      </c>
      <c r="D13" s="9">
        <v>15258712.343976082</v>
      </c>
      <c r="E13" s="15">
        <f t="shared" si="1"/>
        <v>-719364.86602584831</v>
      </c>
      <c r="F13" s="25"/>
      <c r="G13" s="16"/>
      <c r="H13" s="16"/>
      <c r="I13" s="16"/>
    </row>
    <row r="14" spans="2:9" ht="16.2" x14ac:dyDescent="0.45">
      <c r="B14" s="6" t="s">
        <v>7</v>
      </c>
      <c r="C14" s="10">
        <f>+'Q1 2024 SCR'!D14</f>
        <v>24901713.599069692</v>
      </c>
      <c r="D14" s="10">
        <v>25501675.237585612</v>
      </c>
      <c r="E14" s="17">
        <f t="shared" si="1"/>
        <v>599961.63851591945</v>
      </c>
      <c r="F14" s="16"/>
      <c r="G14" s="16"/>
      <c r="H14" s="16"/>
      <c r="I14" s="16"/>
    </row>
    <row r="15" spans="2:9" x14ac:dyDescent="0.3">
      <c r="C15" s="1"/>
      <c r="D15" s="1"/>
      <c r="E15" s="20"/>
      <c r="F15" s="16"/>
      <c r="G15" s="16"/>
      <c r="H15" s="16"/>
      <c r="I15" s="16"/>
    </row>
    <row r="16" spans="2:9" x14ac:dyDescent="0.3">
      <c r="B16" s="2" t="s">
        <v>11</v>
      </c>
      <c r="C16" s="11" t="str">
        <f>+C11</f>
        <v>Q1 2024</v>
      </c>
      <c r="D16" s="11" t="str">
        <f>+D11</f>
        <v>Q2 2024</v>
      </c>
      <c r="E16" s="19" t="s">
        <v>29</v>
      </c>
      <c r="F16" s="19"/>
      <c r="G16" s="16"/>
      <c r="H16" s="16"/>
      <c r="I16" s="16"/>
    </row>
    <row r="17" spans="2:9" x14ac:dyDescent="0.3">
      <c r="B17" t="s">
        <v>12</v>
      </c>
      <c r="C17" s="9">
        <f>+'Q1 2024 SCR'!D17</f>
        <v>11243144.223743619</v>
      </c>
      <c r="D17" s="9">
        <v>11980770.004387209</v>
      </c>
      <c r="E17" s="15">
        <f t="shared" ref="E17:E20" si="2">+D17-C17</f>
        <v>737625.78064358979</v>
      </c>
      <c r="F17" s="16"/>
      <c r="G17" s="16"/>
      <c r="H17" s="16"/>
      <c r="I17" s="16"/>
    </row>
    <row r="18" spans="2:9" x14ac:dyDescent="0.3">
      <c r="B18" t="s">
        <v>13</v>
      </c>
      <c r="C18" s="9">
        <f>+'Q1 2024 SCR'!D18</f>
        <v>0</v>
      </c>
      <c r="D18" s="9">
        <v>0</v>
      </c>
      <c r="E18" s="15">
        <f t="shared" si="2"/>
        <v>0</v>
      </c>
      <c r="F18" s="16"/>
      <c r="G18" s="16"/>
      <c r="H18" s="16"/>
      <c r="I18" s="16"/>
    </row>
    <row r="19" spans="2:9" x14ac:dyDescent="0.3">
      <c r="B19" t="s">
        <v>14</v>
      </c>
      <c r="C19" s="9">
        <f>+'Q1 2024 SCR'!D19</f>
        <v>5338439.6671361234</v>
      </c>
      <c r="D19" s="9">
        <v>5797026.8404006343</v>
      </c>
      <c r="E19" s="15">
        <f t="shared" si="2"/>
        <v>458587.17326451093</v>
      </c>
      <c r="F19" s="16"/>
      <c r="G19" s="16"/>
      <c r="H19" s="16"/>
      <c r="I19" s="16"/>
    </row>
    <row r="20" spans="2:9" ht="16.2" x14ac:dyDescent="0.45">
      <c r="B20" s="6" t="s">
        <v>7</v>
      </c>
      <c r="C20" s="10">
        <f>+'Q1 2024 SCR'!D20</f>
        <v>13598443.060484337</v>
      </c>
      <c r="D20" s="10">
        <v>14555782.106379559</v>
      </c>
      <c r="E20" s="17">
        <f t="shared" si="2"/>
        <v>957339.04589522257</v>
      </c>
      <c r="F20" s="16"/>
      <c r="G20" s="16"/>
      <c r="H20" s="16"/>
      <c r="I20" s="16"/>
    </row>
    <row r="21" spans="2:9" x14ac:dyDescent="0.3">
      <c r="C21" s="9"/>
      <c r="D21" s="9"/>
      <c r="E21" s="15"/>
      <c r="F21" s="16"/>
      <c r="G21" s="16"/>
      <c r="H21" s="16"/>
      <c r="I21" s="16"/>
    </row>
    <row r="22" spans="2:9" x14ac:dyDescent="0.3">
      <c r="B22" s="2" t="s">
        <v>15</v>
      </c>
      <c r="C22" s="11" t="str">
        <f>+C16</f>
        <v>Q1 2024</v>
      </c>
      <c r="D22" s="11" t="str">
        <f>+D16</f>
        <v>Q2 2024</v>
      </c>
      <c r="E22" s="18" t="s">
        <v>29</v>
      </c>
      <c r="F22" s="19"/>
      <c r="G22" s="16"/>
      <c r="H22" s="16"/>
      <c r="I22" s="16"/>
    </row>
    <row r="23" spans="2:9" x14ac:dyDescent="0.3">
      <c r="B23" t="s">
        <v>16</v>
      </c>
      <c r="C23" s="9">
        <f>+'Q1 2024 SCR'!D23</f>
        <v>1572011.9669472128</v>
      </c>
      <c r="D23" s="9">
        <v>825842.38942651451</v>
      </c>
      <c r="E23" s="15">
        <f t="shared" ref="E23:E30" si="3">+D23-C23</f>
        <v>-746169.57752069831</v>
      </c>
      <c r="F23" s="16"/>
      <c r="G23" s="16"/>
      <c r="H23" s="16"/>
      <c r="I23" s="16"/>
    </row>
    <row r="24" spans="2:9" x14ac:dyDescent="0.3">
      <c r="B24" t="s">
        <v>17</v>
      </c>
      <c r="C24" s="9">
        <f>+'Q1 2024 SCR'!D24</f>
        <v>0</v>
      </c>
      <c r="D24" s="9">
        <v>0</v>
      </c>
      <c r="E24" s="15">
        <f t="shared" si="3"/>
        <v>0</v>
      </c>
      <c r="F24" s="16"/>
      <c r="G24" s="16"/>
      <c r="H24" s="16"/>
      <c r="I24" s="16"/>
    </row>
    <row r="25" spans="2:9" x14ac:dyDescent="0.3">
      <c r="B25" t="s">
        <v>18</v>
      </c>
      <c r="C25" s="9">
        <f>+'Q1 2024 SCR'!D25</f>
        <v>765136.19709983468</v>
      </c>
      <c r="D25" s="9">
        <v>610173.04819945619</v>
      </c>
      <c r="E25" s="15">
        <f t="shared" si="3"/>
        <v>-154963.1489003785</v>
      </c>
      <c r="F25" s="16"/>
      <c r="G25" s="16"/>
      <c r="H25" s="16"/>
      <c r="I25" s="16"/>
    </row>
    <row r="26" spans="2:9" x14ac:dyDescent="0.3">
      <c r="B26" t="s">
        <v>19</v>
      </c>
      <c r="C26" s="9">
        <f>+'Q1 2024 SCR'!D26</f>
        <v>287742.47742590308</v>
      </c>
      <c r="D26" s="9">
        <v>220271.17242957279</v>
      </c>
      <c r="E26" s="15">
        <f t="shared" si="3"/>
        <v>-67471.304996330291</v>
      </c>
      <c r="F26" s="16"/>
      <c r="G26" s="16"/>
      <c r="H26" s="16"/>
      <c r="I26" s="16"/>
    </row>
    <row r="27" spans="2:9" x14ac:dyDescent="0.3">
      <c r="B27" t="s">
        <v>20</v>
      </c>
      <c r="C27" s="9">
        <f>+'Q1 2024 SCR'!D27</f>
        <v>144468.16959999874</v>
      </c>
      <c r="D27" s="9">
        <v>142580.15161596239</v>
      </c>
      <c r="E27" s="15">
        <f t="shared" si="3"/>
        <v>-1888.0179840363562</v>
      </c>
      <c r="F27" s="16"/>
      <c r="G27" s="16"/>
      <c r="H27" s="16"/>
      <c r="I27" s="16"/>
    </row>
    <row r="28" spans="2:9" x14ac:dyDescent="0.3">
      <c r="B28" t="s">
        <v>21</v>
      </c>
      <c r="C28" s="9">
        <f>+'Q1 2024 SCR'!D28</f>
        <v>0</v>
      </c>
      <c r="D28" s="9">
        <v>0</v>
      </c>
      <c r="E28" s="15">
        <f t="shared" si="3"/>
        <v>0</v>
      </c>
      <c r="F28" s="16"/>
      <c r="G28" s="16"/>
      <c r="H28" s="16"/>
      <c r="I28" s="16"/>
    </row>
    <row r="29" spans="2:9" x14ac:dyDescent="0.3">
      <c r="B29" t="s">
        <v>22</v>
      </c>
      <c r="C29" s="9">
        <f>+'Q1 2024 SCR'!D29</f>
        <v>1735068.0438824967</v>
      </c>
      <c r="D29" s="9">
        <v>7891.4867039993405</v>
      </c>
      <c r="E29" s="15">
        <f t="shared" si="3"/>
        <v>-1727176.5571784973</v>
      </c>
      <c r="F29" s="16"/>
      <c r="G29" s="16"/>
      <c r="H29" s="16"/>
      <c r="I29" s="16"/>
    </row>
    <row r="30" spans="2:9" ht="16.2" x14ac:dyDescent="0.45">
      <c r="B30" s="6" t="s">
        <v>7</v>
      </c>
      <c r="C30" s="10">
        <f>+'Q1 2024 SCR'!D30</f>
        <v>3072516.5327286017</v>
      </c>
      <c r="D30" s="10">
        <v>1248826.6675433123</v>
      </c>
      <c r="E30" s="17">
        <f t="shared" si="3"/>
        <v>-1823689.8651852894</v>
      </c>
      <c r="F30" s="16"/>
      <c r="G30" s="16"/>
      <c r="H30" s="16"/>
      <c r="I30" s="16"/>
    </row>
    <row r="31" spans="2:9" x14ac:dyDescent="0.3">
      <c r="C31" s="9"/>
      <c r="D31" s="9"/>
      <c r="E31" s="15"/>
      <c r="F31" s="16"/>
      <c r="G31" s="16"/>
      <c r="H31" s="16"/>
      <c r="I31" s="16"/>
    </row>
    <row r="32" spans="2:9" x14ac:dyDescent="0.3">
      <c r="B32" s="2" t="s">
        <v>23</v>
      </c>
      <c r="C32" s="11" t="str">
        <f>+C22</f>
        <v>Q1 2024</v>
      </c>
      <c r="D32" s="11" t="str">
        <f>+D22</f>
        <v>Q2 2024</v>
      </c>
      <c r="E32" s="18" t="s">
        <v>29</v>
      </c>
      <c r="F32" s="19"/>
      <c r="G32" s="16"/>
      <c r="H32" s="16"/>
      <c r="I32" s="16"/>
    </row>
    <row r="33" spans="2:9" x14ac:dyDescent="0.3">
      <c r="B33" t="s">
        <v>12</v>
      </c>
      <c r="C33" s="9">
        <f>+'Q1 2024 SCR'!D33</f>
        <v>10800.927891154239</v>
      </c>
      <c r="D33" s="9">
        <v>1182.2288186058252</v>
      </c>
      <c r="E33" s="15">
        <f t="shared" ref="E33:E35" si="4">+D33-C33</f>
        <v>-9618.6990725484138</v>
      </c>
      <c r="F33" s="16"/>
      <c r="G33" s="16"/>
      <c r="H33" s="16"/>
      <c r="I33" s="16"/>
    </row>
    <row r="34" spans="2:9" x14ac:dyDescent="0.3">
      <c r="B34" t="s">
        <v>14</v>
      </c>
      <c r="C34" s="9">
        <f>+'Q1 2024 SCR'!D34</f>
        <v>0</v>
      </c>
      <c r="D34" s="9">
        <v>0</v>
      </c>
      <c r="E34" s="15">
        <f t="shared" si="4"/>
        <v>0</v>
      </c>
      <c r="F34" s="16"/>
      <c r="G34" s="16"/>
      <c r="H34" s="16"/>
      <c r="I34" s="16"/>
    </row>
    <row r="35" spans="2:9" ht="16.2" x14ac:dyDescent="0.45">
      <c r="B35" s="6" t="s">
        <v>7</v>
      </c>
      <c r="C35" s="10">
        <f>+'Q1 2024 SCR'!D35</f>
        <v>10800.927891154239</v>
      </c>
      <c r="D35" s="10">
        <v>1182.2288186058252</v>
      </c>
      <c r="E35" s="17">
        <f t="shared" si="4"/>
        <v>-9618.6990725484138</v>
      </c>
      <c r="F35" s="16"/>
      <c r="G35" s="16"/>
      <c r="H35" s="16"/>
      <c r="I35" s="16"/>
    </row>
    <row r="36" spans="2:9" x14ac:dyDescent="0.3">
      <c r="B36" s="3"/>
      <c r="C36" s="9"/>
      <c r="D36" s="9"/>
      <c r="E36" s="15"/>
      <c r="F36" s="16"/>
      <c r="G36" s="16"/>
      <c r="H36" s="16"/>
      <c r="I36" s="16"/>
    </row>
    <row r="37" spans="2:9" x14ac:dyDescent="0.3">
      <c r="B37" s="3"/>
      <c r="C37" s="9"/>
      <c r="D37" s="9"/>
      <c r="E37" s="15"/>
      <c r="F37" s="16"/>
      <c r="G37" s="16"/>
      <c r="H37" s="16"/>
      <c r="I37" s="16"/>
    </row>
    <row r="38" spans="2:9" x14ac:dyDescent="0.3">
      <c r="C38" s="12"/>
      <c r="D38" s="12"/>
      <c r="E38" s="21"/>
      <c r="F38" s="16"/>
      <c r="G38" s="16"/>
      <c r="H38" s="16"/>
      <c r="I38" s="16"/>
    </row>
    <row r="39" spans="2:9" x14ac:dyDescent="0.3">
      <c r="B39" s="5" t="s">
        <v>79</v>
      </c>
      <c r="C39" s="12"/>
      <c r="D39" s="12"/>
      <c r="E39" s="21"/>
      <c r="F39" s="16"/>
      <c r="G39" s="16"/>
      <c r="H39" s="16"/>
      <c r="I39" s="16"/>
    </row>
    <row r="40" spans="2:9" x14ac:dyDescent="0.3">
      <c r="B40" s="4" t="s">
        <v>24</v>
      </c>
      <c r="C40" s="11" t="str">
        <f>+C32</f>
        <v>Q1 2024</v>
      </c>
      <c r="D40" s="11" t="str">
        <f>+D32</f>
        <v>Q2 2024</v>
      </c>
      <c r="E40" s="18" t="s">
        <v>29</v>
      </c>
      <c r="F40" s="19"/>
      <c r="G40" s="16"/>
      <c r="H40" s="16"/>
      <c r="I40" s="16"/>
    </row>
    <row r="41" spans="2:9" x14ac:dyDescent="0.3">
      <c r="B41" t="s">
        <v>32</v>
      </c>
      <c r="C41" s="12">
        <f>+'Q1 2024 SCR'!D41</f>
        <v>7182534.1381265065</v>
      </c>
      <c r="D41" s="12">
        <v>11082359.8851978</v>
      </c>
      <c r="E41" s="21">
        <f t="shared" ref="E41:E46" si="5">+D41-C41</f>
        <v>3899825.7470712932</v>
      </c>
      <c r="F41" s="16"/>
      <c r="G41" s="16"/>
      <c r="H41" s="16"/>
      <c r="I41" s="16"/>
    </row>
    <row r="42" spans="2:9" x14ac:dyDescent="0.3">
      <c r="B42" t="s">
        <v>33</v>
      </c>
      <c r="C42" s="12">
        <f>+'Q1 2024 SCR'!D42</f>
        <v>24901713.599069692</v>
      </c>
      <c r="D42" s="12">
        <v>25501675.237585612</v>
      </c>
      <c r="E42" s="21">
        <f t="shared" si="5"/>
        <v>599961.63851591945</v>
      </c>
      <c r="F42" s="16"/>
      <c r="G42" s="16"/>
      <c r="H42" s="16"/>
      <c r="I42" s="16"/>
    </row>
    <row r="43" spans="2:9" x14ac:dyDescent="0.3">
      <c r="B43" t="s">
        <v>34</v>
      </c>
      <c r="C43" s="12">
        <f>+'Q1 2024 SCR'!D43</f>
        <v>3072516.5327286017</v>
      </c>
      <c r="D43" s="12">
        <v>1248826.6675433123</v>
      </c>
      <c r="E43" s="21">
        <f t="shared" si="5"/>
        <v>-1823689.8651852894</v>
      </c>
      <c r="F43" s="16"/>
      <c r="G43" s="16"/>
      <c r="H43" s="16"/>
      <c r="I43" s="16"/>
    </row>
    <row r="44" spans="2:9" x14ac:dyDescent="0.3">
      <c r="B44" t="s">
        <v>35</v>
      </c>
      <c r="C44" s="12">
        <f>+'Q1 2024 SCR'!D44</f>
        <v>10800.927891154239</v>
      </c>
      <c r="D44" s="12">
        <v>1182.2288186058252</v>
      </c>
      <c r="E44" s="21">
        <f t="shared" si="5"/>
        <v>-9618.6990725484138</v>
      </c>
      <c r="F44" s="16"/>
      <c r="G44" s="16"/>
      <c r="H44" s="16"/>
      <c r="I44" s="16"/>
    </row>
    <row r="45" spans="2:9" x14ac:dyDescent="0.3">
      <c r="B45" t="s">
        <v>36</v>
      </c>
      <c r="C45" s="12">
        <f>+'Q1 2024 SCR'!D45</f>
        <v>13598443.060484337</v>
      </c>
      <c r="D45" s="12">
        <v>14555782.106379559</v>
      </c>
      <c r="E45" s="21">
        <f t="shared" si="5"/>
        <v>957339.04589522257</v>
      </c>
      <c r="F45" s="16"/>
      <c r="G45" s="16"/>
      <c r="H45" s="16"/>
      <c r="I45" s="16"/>
    </row>
    <row r="46" spans="2:9" ht="16.2" x14ac:dyDescent="0.45">
      <c r="B46" s="6" t="s">
        <v>38</v>
      </c>
      <c r="C46" s="13">
        <f>+'Q1 2024 SCR'!D46</f>
        <v>37315019.735804975</v>
      </c>
      <c r="D46" s="13">
        <v>40032647.088287689</v>
      </c>
      <c r="E46" s="22">
        <f t="shared" si="5"/>
        <v>2717627.3524827138</v>
      </c>
      <c r="F46" s="16"/>
      <c r="G46" s="16"/>
      <c r="H46" s="16"/>
      <c r="I46" s="16"/>
    </row>
    <row r="47" spans="2:9" x14ac:dyDescent="0.3">
      <c r="C47" s="12"/>
      <c r="D47" s="12"/>
      <c r="E47" s="21"/>
      <c r="F47" s="16"/>
      <c r="G47" s="16"/>
      <c r="H47" s="16"/>
      <c r="I47" s="16"/>
    </row>
    <row r="48" spans="2:9" x14ac:dyDescent="0.3">
      <c r="C48" s="12"/>
      <c r="D48" s="12"/>
      <c r="E48" s="21"/>
      <c r="F48" s="16"/>
      <c r="G48" s="16"/>
      <c r="H48" s="16"/>
      <c r="I48" s="16"/>
    </row>
    <row r="49" spans="2:9" x14ac:dyDescent="0.3">
      <c r="B49" t="s">
        <v>25</v>
      </c>
      <c r="C49" s="9">
        <f>+'Q1 2024 SCR'!D49</f>
        <v>5183192.2352515394</v>
      </c>
      <c r="D49" s="9">
        <v>5972583.0282603614</v>
      </c>
      <c r="E49" s="15">
        <f t="shared" ref="E49:E51" si="6">+D49-C49</f>
        <v>789390.79300882202</v>
      </c>
      <c r="F49" s="16"/>
      <c r="G49" s="16"/>
      <c r="H49" s="16"/>
      <c r="I49" s="16"/>
    </row>
    <row r="50" spans="2:9" x14ac:dyDescent="0.3">
      <c r="B50" t="s">
        <v>26</v>
      </c>
      <c r="C50" s="9">
        <f>+'Q1 2024 SCR'!D50</f>
        <v>-9037628.980247451</v>
      </c>
      <c r="D50" s="9">
        <v>-9439274.9002009481</v>
      </c>
      <c r="E50" s="15">
        <f t="shared" si="6"/>
        <v>-401645.91995349713</v>
      </c>
      <c r="F50" s="16"/>
      <c r="G50" s="16"/>
      <c r="H50" s="16"/>
      <c r="I50" s="16"/>
    </row>
    <row r="51" spans="2:9" x14ac:dyDescent="0.3">
      <c r="B51" s="6" t="s">
        <v>27</v>
      </c>
      <c r="C51" s="14">
        <f>+'Q1 2024 SCR'!D51</f>
        <v>33460582.990809061</v>
      </c>
      <c r="D51" s="14">
        <f>+D46+D49+D50</f>
        <v>36565955.216347098</v>
      </c>
      <c r="E51" s="23">
        <f t="shared" si="6"/>
        <v>3105372.2255380377</v>
      </c>
      <c r="F51" s="16"/>
      <c r="G51" s="16"/>
      <c r="H51" s="16"/>
      <c r="I51" s="16"/>
    </row>
    <row r="52" spans="2:9" x14ac:dyDescent="0.3">
      <c r="C52" s="9"/>
      <c r="D52" s="9"/>
      <c r="E52" s="15"/>
      <c r="F52" s="16"/>
      <c r="G52" s="16"/>
      <c r="H52" s="16"/>
      <c r="I52" s="16"/>
    </row>
    <row r="53" spans="2:9" x14ac:dyDescent="0.3">
      <c r="B53" t="s">
        <v>31</v>
      </c>
      <c r="C53" s="9">
        <f>+'Q1 2024 SCR'!D53</f>
        <v>56422951.375054061</v>
      </c>
      <c r="D53" s="9">
        <v>56683978.235187888</v>
      </c>
      <c r="E53" s="15">
        <f>+D53-C53</f>
        <v>261026.86013382673</v>
      </c>
      <c r="F53" s="16"/>
      <c r="G53" s="16"/>
      <c r="H53" s="16"/>
      <c r="I53" s="16"/>
    </row>
    <row r="54" spans="2:9" x14ac:dyDescent="0.3">
      <c r="E54" s="16"/>
      <c r="F54" s="16"/>
      <c r="G54" s="16"/>
      <c r="H54" s="16"/>
      <c r="I54" s="16"/>
    </row>
    <row r="55" spans="2:9" x14ac:dyDescent="0.3">
      <c r="B55" s="7" t="s">
        <v>37</v>
      </c>
      <c r="C55" s="8">
        <f>+C53/C51</f>
        <v>1.6862512942632319</v>
      </c>
      <c r="D55" s="8">
        <f>+D53/D51</f>
        <v>1.5501845336682705</v>
      </c>
      <c r="E55" s="31">
        <f>+D55-C55</f>
        <v>-0.13606676059496148</v>
      </c>
      <c r="F55" s="16"/>
      <c r="G55" s="16"/>
      <c r="H55" s="16"/>
      <c r="I55" s="16"/>
    </row>
    <row r="56" spans="2:9" x14ac:dyDescent="0.3">
      <c r="E56" s="16"/>
      <c r="F56" s="16"/>
      <c r="G56" s="16"/>
      <c r="H56" s="16"/>
      <c r="I56" s="16"/>
    </row>
    <row r="58" spans="2:9" x14ac:dyDescent="0.3">
      <c r="D58" s="26"/>
    </row>
    <row r="59" spans="2:9" x14ac:dyDescent="0.3">
      <c r="D59" s="26"/>
    </row>
    <row r="60" spans="2:9" x14ac:dyDescent="0.3">
      <c r="D60" s="27"/>
    </row>
    <row r="64" spans="2:9" x14ac:dyDescent="0.3">
      <c r="B64" s="4" t="s">
        <v>39</v>
      </c>
      <c r="C64" s="11">
        <f>+C51</f>
        <v>33460582.990809061</v>
      </c>
    </row>
    <row r="65" spans="2:3" x14ac:dyDescent="0.3">
      <c r="B65" t="s">
        <v>40</v>
      </c>
      <c r="C65" s="12">
        <f>+E41</f>
        <v>3899825.7470712932</v>
      </c>
    </row>
    <row r="66" spans="2:3" x14ac:dyDescent="0.3">
      <c r="B66" t="s">
        <v>41</v>
      </c>
      <c r="C66" s="12">
        <f t="shared" ref="C66:C69" si="7">+E42</f>
        <v>599961.63851591945</v>
      </c>
    </row>
    <row r="67" spans="2:3" x14ac:dyDescent="0.3">
      <c r="B67" t="s">
        <v>42</v>
      </c>
      <c r="C67" s="12">
        <f t="shared" si="7"/>
        <v>-1823689.8651852894</v>
      </c>
    </row>
    <row r="68" spans="2:3" x14ac:dyDescent="0.3">
      <c r="B68" t="s">
        <v>43</v>
      </c>
      <c r="C68" s="12">
        <f t="shared" si="7"/>
        <v>-9618.6990725484138</v>
      </c>
    </row>
    <row r="69" spans="2:3" x14ac:dyDescent="0.3">
      <c r="B69" t="s">
        <v>44</v>
      </c>
      <c r="C69" s="12">
        <f t="shared" si="7"/>
        <v>957339.04589522257</v>
      </c>
    </row>
    <row r="70" spans="2:3" x14ac:dyDescent="0.3">
      <c r="B70" t="s">
        <v>45</v>
      </c>
      <c r="C70" s="12">
        <f>-SUM(E41:E45)+E46</f>
        <v>-906190.51474188361</v>
      </c>
    </row>
    <row r="71" spans="2:3" x14ac:dyDescent="0.3">
      <c r="B71" t="s">
        <v>46</v>
      </c>
      <c r="C71" s="12">
        <f>+E49</f>
        <v>789390.79300882202</v>
      </c>
    </row>
    <row r="72" spans="2:3" x14ac:dyDescent="0.3">
      <c r="B72" t="s">
        <v>47</v>
      </c>
      <c r="C72" s="12">
        <f>+E50</f>
        <v>-401645.91995349713</v>
      </c>
    </row>
    <row r="73" spans="2:3" x14ac:dyDescent="0.3">
      <c r="B73" s="4" t="s">
        <v>81</v>
      </c>
      <c r="C73" s="11">
        <f>+SUM(C64:C72)</f>
        <v>36565955.216347098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4A4E5-48C6-4397-AAC9-475E7485C357}">
  <dimension ref="B1:K73"/>
  <sheetViews>
    <sheetView showGridLines="0" topLeftCell="A24" workbookViewId="0">
      <selection activeCell="D20" sqref="D20"/>
    </sheetView>
  </sheetViews>
  <sheetFormatPr defaultRowHeight="14.4" x14ac:dyDescent="0.3"/>
  <cols>
    <col min="1" max="1" width="4.33203125" customWidth="1"/>
    <col min="2" max="2" width="22.77734375" customWidth="1"/>
    <col min="3" max="3" width="13.88671875" bestFit="1" customWidth="1"/>
    <col min="4" max="4" width="17.77734375" bestFit="1" customWidth="1"/>
    <col min="5" max="5" width="13.88671875" bestFit="1" customWidth="1"/>
    <col min="6" max="6" width="40.77734375" customWidth="1"/>
  </cols>
  <sheetData>
    <row r="1" spans="2:9" x14ac:dyDescent="0.3">
      <c r="B1" s="5" t="s">
        <v>80</v>
      </c>
    </row>
    <row r="2" spans="2:9" x14ac:dyDescent="0.3">
      <c r="B2" s="2" t="s">
        <v>0</v>
      </c>
      <c r="C2" s="4" t="s">
        <v>85</v>
      </c>
      <c r="D2" s="4" t="s">
        <v>84</v>
      </c>
      <c r="E2" s="4" t="s">
        <v>29</v>
      </c>
      <c r="F2" s="4"/>
    </row>
    <row r="3" spans="2:9" x14ac:dyDescent="0.3">
      <c r="B3" t="s">
        <v>1</v>
      </c>
      <c r="C3" s="9">
        <f>+'Q2 2024 SCR'!D3</f>
        <v>2793350.5353597403</v>
      </c>
      <c r="D3" s="9">
        <v>2407319.5553751588</v>
      </c>
      <c r="E3" s="15">
        <f>+D3-C3</f>
        <v>-386030.97998458147</v>
      </c>
      <c r="F3" s="16"/>
      <c r="G3" s="16"/>
      <c r="H3" s="16"/>
      <c r="I3" s="16"/>
    </row>
    <row r="4" spans="2:9" x14ac:dyDescent="0.3">
      <c r="B4" t="s">
        <v>2</v>
      </c>
      <c r="C4" s="9">
        <f>+'Q2 2024 SCR'!D4</f>
        <v>602417.7657175127</v>
      </c>
      <c r="D4" s="9">
        <v>570462.88871009904</v>
      </c>
      <c r="E4" s="15">
        <f t="shared" ref="E4:E9" si="0">+D4-C4</f>
        <v>-31954.877007413656</v>
      </c>
      <c r="F4" s="16"/>
      <c r="G4" s="16"/>
      <c r="H4" s="16"/>
      <c r="I4" s="16"/>
    </row>
    <row r="5" spans="2:9" x14ac:dyDescent="0.3">
      <c r="B5" t="s">
        <v>3</v>
      </c>
      <c r="C5" s="9">
        <f>+'Q2 2024 SCR'!D5</f>
        <v>0</v>
      </c>
      <c r="D5" s="9">
        <v>0</v>
      </c>
      <c r="E5" s="15">
        <f t="shared" si="0"/>
        <v>0</v>
      </c>
      <c r="F5" s="16"/>
      <c r="G5" s="16"/>
      <c r="H5" s="16"/>
      <c r="I5" s="16"/>
    </row>
    <row r="6" spans="2:9" x14ac:dyDescent="0.3">
      <c r="B6" t="s">
        <v>4</v>
      </c>
      <c r="C6" s="9">
        <f>+'Q2 2024 SCR'!D6</f>
        <v>113981.10924657062</v>
      </c>
      <c r="D6" s="9">
        <v>111173.29198629409</v>
      </c>
      <c r="E6" s="15">
        <f t="shared" si="0"/>
        <v>-2807.8172602765262</v>
      </c>
      <c r="F6" s="16"/>
      <c r="G6" s="16"/>
      <c r="H6" s="16"/>
      <c r="I6" s="16"/>
    </row>
    <row r="7" spans="2:9" x14ac:dyDescent="0.3">
      <c r="B7" t="s">
        <v>5</v>
      </c>
      <c r="C7" s="9">
        <f>+'Q2 2024 SCR'!D7</f>
        <v>9860504.0945240781</v>
      </c>
      <c r="D7" s="9">
        <v>7085730.5775050297</v>
      </c>
      <c r="E7" s="15">
        <f t="shared" si="0"/>
        <v>-2774773.5170190483</v>
      </c>
      <c r="F7" s="16"/>
      <c r="G7" s="16"/>
      <c r="H7" s="16"/>
      <c r="I7" s="16"/>
    </row>
    <row r="8" spans="2:9" x14ac:dyDescent="0.3">
      <c r="B8" t="s">
        <v>6</v>
      </c>
      <c r="C8" s="9">
        <f>+'Q2 2024 SCR'!D8</f>
        <v>59228.138822231653</v>
      </c>
      <c r="D8" s="9">
        <v>53118.609347170874</v>
      </c>
      <c r="E8" s="15">
        <f t="shared" si="0"/>
        <v>-6109.5294750607791</v>
      </c>
      <c r="F8" s="16"/>
      <c r="G8" s="16"/>
      <c r="H8" s="16"/>
      <c r="I8" s="16"/>
    </row>
    <row r="9" spans="2:9" ht="16.2" x14ac:dyDescent="0.45">
      <c r="B9" s="6" t="s">
        <v>7</v>
      </c>
      <c r="C9" s="10">
        <f>+'Q2 2024 SCR'!D9</f>
        <v>11082359.8851978</v>
      </c>
      <c r="D9" s="10">
        <v>8308018.7032041727</v>
      </c>
      <c r="E9" s="17">
        <f t="shared" si="0"/>
        <v>-2774341.181993627</v>
      </c>
      <c r="F9" s="16"/>
      <c r="G9" s="16"/>
      <c r="H9" s="16"/>
      <c r="I9" s="16"/>
    </row>
    <row r="10" spans="2:9" x14ac:dyDescent="0.3">
      <c r="C10" s="9"/>
      <c r="D10" s="9"/>
      <c r="E10" s="15"/>
      <c r="F10" s="16"/>
      <c r="G10" s="16"/>
      <c r="H10" s="16"/>
      <c r="I10" s="16"/>
    </row>
    <row r="11" spans="2:9" x14ac:dyDescent="0.3">
      <c r="B11" s="2" t="s">
        <v>8</v>
      </c>
      <c r="C11" s="11" t="str">
        <f>+C2</f>
        <v>Q2 2024</v>
      </c>
      <c r="D11" s="11" t="str">
        <f>+D2</f>
        <v>Q3 2024</v>
      </c>
      <c r="E11" s="18" t="s">
        <v>29</v>
      </c>
      <c r="F11" s="19"/>
      <c r="G11" s="16"/>
      <c r="H11" s="16"/>
      <c r="I11" s="16"/>
    </row>
    <row r="12" spans="2:9" x14ac:dyDescent="0.3">
      <c r="B12" t="s">
        <v>9</v>
      </c>
      <c r="C12" s="9">
        <f>+'Q2 2024 SCR'!D12</f>
        <v>11975467.393952083</v>
      </c>
      <c r="D12" s="9">
        <v>8708313.7287113052</v>
      </c>
      <c r="E12" s="15">
        <f t="shared" ref="E12:E14" si="1">+D12-C12</f>
        <v>-3267153.6652407777</v>
      </c>
      <c r="F12" s="16"/>
      <c r="G12" s="16"/>
      <c r="H12" s="16"/>
      <c r="I12" s="16"/>
    </row>
    <row r="13" spans="2:9" x14ac:dyDescent="0.3">
      <c r="B13" t="s">
        <v>10</v>
      </c>
      <c r="C13" s="9">
        <f>+'Q2 2024 SCR'!D13</f>
        <v>15258712.343976082</v>
      </c>
      <c r="D13" s="9">
        <v>15149437.279812977</v>
      </c>
      <c r="E13" s="15">
        <f t="shared" si="1"/>
        <v>-109275.06416310556</v>
      </c>
      <c r="F13" s="25"/>
      <c r="G13" s="16"/>
      <c r="H13" s="16"/>
      <c r="I13" s="16"/>
    </row>
    <row r="14" spans="2:9" ht="16.2" x14ac:dyDescent="0.45">
      <c r="B14" s="6" t="s">
        <v>7</v>
      </c>
      <c r="C14" s="10">
        <f>+'Q2 2024 SCR'!D14</f>
        <v>25501675.237585612</v>
      </c>
      <c r="D14" s="10">
        <v>22432771.938878134</v>
      </c>
      <c r="E14" s="17">
        <f t="shared" si="1"/>
        <v>-3068903.2987074777</v>
      </c>
      <c r="F14" s="16"/>
      <c r="G14" s="16"/>
      <c r="H14" s="16"/>
      <c r="I14" s="16"/>
    </row>
    <row r="15" spans="2:9" x14ac:dyDescent="0.3">
      <c r="C15" s="1"/>
      <c r="D15" s="1"/>
      <c r="E15" s="20"/>
      <c r="F15" s="16"/>
      <c r="G15" s="16"/>
      <c r="H15" s="16"/>
      <c r="I15" s="16"/>
    </row>
    <row r="16" spans="2:9" x14ac:dyDescent="0.3">
      <c r="B16" s="2" t="s">
        <v>11</v>
      </c>
      <c r="C16" s="11" t="str">
        <f>+C11</f>
        <v>Q2 2024</v>
      </c>
      <c r="D16" s="11" t="str">
        <f>+D11</f>
        <v>Q3 2024</v>
      </c>
      <c r="E16" s="19" t="s">
        <v>29</v>
      </c>
      <c r="F16" s="19"/>
      <c r="G16" s="16"/>
      <c r="H16" s="16"/>
      <c r="I16" s="16"/>
    </row>
    <row r="17" spans="2:9" x14ac:dyDescent="0.3">
      <c r="B17" t="s">
        <v>12</v>
      </c>
      <c r="C17" s="9">
        <f>+'Q2 2024 SCR'!D17</f>
        <v>11980770.004387209</v>
      </c>
      <c r="D17" s="9">
        <v>11382818.475012481</v>
      </c>
      <c r="E17" s="15">
        <f t="shared" ref="E17:E20" si="2">+D17-C17</f>
        <v>-597951.52937472798</v>
      </c>
      <c r="F17" s="16"/>
      <c r="G17" s="16"/>
      <c r="H17" s="16"/>
      <c r="I17" s="16"/>
    </row>
    <row r="18" spans="2:9" x14ac:dyDescent="0.3">
      <c r="B18" t="s">
        <v>13</v>
      </c>
      <c r="C18" s="9">
        <f>+'Q2 2024 SCR'!D18</f>
        <v>0</v>
      </c>
      <c r="D18" s="9">
        <v>0</v>
      </c>
      <c r="E18" s="15">
        <f t="shared" si="2"/>
        <v>0</v>
      </c>
      <c r="F18" s="16"/>
      <c r="G18" s="16"/>
      <c r="H18" s="16"/>
      <c r="I18" s="16"/>
    </row>
    <row r="19" spans="2:9" x14ac:dyDescent="0.3">
      <c r="B19" t="s">
        <v>14</v>
      </c>
      <c r="C19" s="9">
        <f>+'Q2 2024 SCR'!D19</f>
        <v>5797026.8404006343</v>
      </c>
      <c r="D19" s="9">
        <v>6157401.5422318839</v>
      </c>
      <c r="E19" s="15">
        <f t="shared" si="2"/>
        <v>360374.70183124952</v>
      </c>
      <c r="F19" s="16"/>
      <c r="G19" s="16"/>
      <c r="H19" s="16"/>
      <c r="I19" s="16"/>
    </row>
    <row r="20" spans="2:9" ht="16.2" x14ac:dyDescent="0.45">
      <c r="B20" s="6" t="s">
        <v>7</v>
      </c>
      <c r="C20" s="10">
        <f>+'Q2 2024 SCR'!D20</f>
        <v>14555782.106379559</v>
      </c>
      <c r="D20" s="10">
        <v>14231178.524769437</v>
      </c>
      <c r="E20" s="17">
        <f t="shared" si="2"/>
        <v>-324603.5816101227</v>
      </c>
      <c r="F20" s="16"/>
      <c r="G20" s="16"/>
      <c r="H20" s="16"/>
      <c r="I20" s="16"/>
    </row>
    <row r="21" spans="2:9" x14ac:dyDescent="0.3">
      <c r="C21" s="9"/>
      <c r="D21" s="9"/>
      <c r="E21" s="15"/>
      <c r="F21" s="16"/>
      <c r="G21" s="16"/>
      <c r="H21" s="16"/>
      <c r="I21" s="16"/>
    </row>
    <row r="22" spans="2:9" x14ac:dyDescent="0.3">
      <c r="B22" s="2" t="s">
        <v>15</v>
      </c>
      <c r="C22" s="11" t="str">
        <f>+C16</f>
        <v>Q2 2024</v>
      </c>
      <c r="D22" s="11" t="str">
        <f>+D16</f>
        <v>Q3 2024</v>
      </c>
      <c r="E22" s="18" t="s">
        <v>29</v>
      </c>
      <c r="F22" s="19"/>
      <c r="G22" s="16"/>
      <c r="H22" s="16"/>
      <c r="I22" s="16"/>
    </row>
    <row r="23" spans="2:9" x14ac:dyDescent="0.3">
      <c r="B23" t="s">
        <v>16</v>
      </c>
      <c r="C23" s="9">
        <f>+'Q2 2024 SCR'!D23</f>
        <v>825842.38942651451</v>
      </c>
      <c r="D23" s="9">
        <v>807128.08908334374</v>
      </c>
      <c r="E23" s="15">
        <f t="shared" ref="E23:E30" si="3">+D23-C23</f>
        <v>-18714.300343170762</v>
      </c>
      <c r="F23" s="16"/>
      <c r="G23" s="16"/>
      <c r="H23" s="16"/>
      <c r="I23" s="16"/>
    </row>
    <row r="24" spans="2:9" x14ac:dyDescent="0.3">
      <c r="B24" t="s">
        <v>17</v>
      </c>
      <c r="C24" s="9">
        <f>+'Q2 2024 SCR'!D24</f>
        <v>0</v>
      </c>
      <c r="D24" s="9">
        <v>0</v>
      </c>
      <c r="E24" s="15">
        <f t="shared" si="3"/>
        <v>0</v>
      </c>
      <c r="F24" s="16"/>
      <c r="G24" s="16"/>
      <c r="H24" s="16"/>
      <c r="I24" s="16"/>
    </row>
    <row r="25" spans="2:9" x14ac:dyDescent="0.3">
      <c r="B25" t="s">
        <v>18</v>
      </c>
      <c r="C25" s="9">
        <f>+'Q2 2024 SCR'!D25</f>
        <v>610173.04819945619</v>
      </c>
      <c r="D25" s="9">
        <v>748507.84469088167</v>
      </c>
      <c r="E25" s="15">
        <f t="shared" si="3"/>
        <v>138334.79649142548</v>
      </c>
      <c r="F25" s="16"/>
      <c r="G25" s="16"/>
      <c r="H25" s="16"/>
      <c r="I25" s="16"/>
    </row>
    <row r="26" spans="2:9" x14ac:dyDescent="0.3">
      <c r="B26" t="s">
        <v>19</v>
      </c>
      <c r="C26" s="9">
        <f>+'Q2 2024 SCR'!D26</f>
        <v>220271.17242957279</v>
      </c>
      <c r="D26" s="9">
        <v>145951.50902121514</v>
      </c>
      <c r="E26" s="15">
        <f t="shared" si="3"/>
        <v>-74319.66340835765</v>
      </c>
      <c r="F26" s="16"/>
      <c r="G26" s="16"/>
      <c r="H26" s="16"/>
      <c r="I26" s="16"/>
    </row>
    <row r="27" spans="2:9" x14ac:dyDescent="0.3">
      <c r="B27" t="s">
        <v>20</v>
      </c>
      <c r="C27" s="9">
        <f>+'Q2 2024 SCR'!D27</f>
        <v>142580.15161596239</v>
      </c>
      <c r="D27" s="9">
        <v>71557.156031504273</v>
      </c>
      <c r="E27" s="15">
        <f t="shared" si="3"/>
        <v>-71022.995584458113</v>
      </c>
      <c r="F27" s="16"/>
      <c r="G27" s="16"/>
      <c r="H27" s="16"/>
      <c r="I27" s="16"/>
    </row>
    <row r="28" spans="2:9" x14ac:dyDescent="0.3">
      <c r="B28" t="s">
        <v>21</v>
      </c>
      <c r="C28" s="9">
        <f>+'Q2 2024 SCR'!D28</f>
        <v>0</v>
      </c>
      <c r="D28" s="9">
        <v>0</v>
      </c>
      <c r="E28" s="15">
        <f t="shared" si="3"/>
        <v>0</v>
      </c>
      <c r="F28" s="16"/>
      <c r="G28" s="16"/>
      <c r="H28" s="16"/>
      <c r="I28" s="16"/>
    </row>
    <row r="29" spans="2:9" x14ac:dyDescent="0.3">
      <c r="B29" t="s">
        <v>22</v>
      </c>
      <c r="C29" s="9">
        <f>+'Q2 2024 SCR'!D29</f>
        <v>7891.4867039993405</v>
      </c>
      <c r="D29" s="9">
        <v>2578848.4114092663</v>
      </c>
      <c r="E29" s="15">
        <f t="shared" si="3"/>
        <v>2570956.924705267</v>
      </c>
      <c r="F29" s="16"/>
      <c r="G29" s="16"/>
      <c r="H29" s="16"/>
      <c r="I29" s="16"/>
    </row>
    <row r="30" spans="2:9" ht="16.2" x14ac:dyDescent="0.45">
      <c r="B30" s="6" t="s">
        <v>7</v>
      </c>
      <c r="C30" s="10">
        <f>+'Q2 2024 SCR'!D30</f>
        <v>1248826.6675433123</v>
      </c>
      <c r="D30" s="10">
        <v>3251136.7898478229</v>
      </c>
      <c r="E30" s="17">
        <f t="shared" si="3"/>
        <v>2002310.1223045106</v>
      </c>
      <c r="F30" s="16"/>
      <c r="G30" s="16"/>
      <c r="H30" s="16"/>
      <c r="I30" s="16"/>
    </row>
    <row r="31" spans="2:9" x14ac:dyDescent="0.3">
      <c r="C31" s="9"/>
      <c r="D31" s="9"/>
      <c r="E31" s="15"/>
      <c r="F31" s="16"/>
      <c r="G31" s="16"/>
      <c r="H31" s="16"/>
      <c r="I31" s="16"/>
    </row>
    <row r="32" spans="2:9" x14ac:dyDescent="0.3">
      <c r="B32" s="2" t="s">
        <v>23</v>
      </c>
      <c r="C32" s="11" t="str">
        <f>+C22</f>
        <v>Q2 2024</v>
      </c>
      <c r="D32" s="11" t="str">
        <f>+D22</f>
        <v>Q3 2024</v>
      </c>
      <c r="E32" s="18" t="s">
        <v>29</v>
      </c>
      <c r="F32" s="19"/>
      <c r="G32" s="16"/>
      <c r="H32" s="16"/>
      <c r="I32" s="16"/>
    </row>
    <row r="33" spans="2:11" x14ac:dyDescent="0.3">
      <c r="B33" t="s">
        <v>12</v>
      </c>
      <c r="C33" s="9">
        <f>+'Q2 2024 SCR'!D33</f>
        <v>1182.2288186058252</v>
      </c>
      <c r="D33" s="9">
        <v>891.22211123499471</v>
      </c>
      <c r="E33" s="15">
        <f t="shared" ref="E33:E35" si="4">+D33-C33</f>
        <v>-291.00670737083044</v>
      </c>
      <c r="F33" s="16"/>
      <c r="G33" s="16"/>
      <c r="H33" s="16"/>
      <c r="I33" s="16"/>
    </row>
    <row r="34" spans="2:11" x14ac:dyDescent="0.3">
      <c r="B34" t="s">
        <v>14</v>
      </c>
      <c r="C34" s="9">
        <f>+'Q2 2024 SCR'!D34</f>
        <v>0</v>
      </c>
      <c r="D34" s="9">
        <v>0</v>
      </c>
      <c r="E34" s="15">
        <f t="shared" si="4"/>
        <v>0</v>
      </c>
      <c r="F34" s="16"/>
      <c r="G34" s="16"/>
      <c r="H34" s="16"/>
      <c r="I34" s="16"/>
    </row>
    <row r="35" spans="2:11" ht="16.2" x14ac:dyDescent="0.45">
      <c r="B35" s="6" t="s">
        <v>7</v>
      </c>
      <c r="C35" s="10">
        <f>+'Q2 2024 SCR'!D35</f>
        <v>1182.2288186058252</v>
      </c>
      <c r="D35" s="10">
        <v>891.22211123499471</v>
      </c>
      <c r="E35" s="17">
        <f t="shared" si="4"/>
        <v>-291.00670737083044</v>
      </c>
      <c r="F35" s="16"/>
      <c r="G35" s="16"/>
      <c r="H35" s="16"/>
      <c r="I35" s="16"/>
    </row>
    <row r="36" spans="2:11" x14ac:dyDescent="0.3">
      <c r="B36" s="3"/>
      <c r="C36" s="9"/>
      <c r="D36" s="9"/>
      <c r="E36" s="15"/>
      <c r="F36" s="16"/>
      <c r="G36" s="16"/>
      <c r="H36" s="16"/>
      <c r="I36" s="16"/>
    </row>
    <row r="37" spans="2:11" x14ac:dyDescent="0.3">
      <c r="B37" s="3"/>
      <c r="C37" s="9"/>
      <c r="D37" s="9"/>
      <c r="E37" s="15"/>
      <c r="F37" s="16"/>
      <c r="G37" s="16"/>
      <c r="H37" s="16"/>
      <c r="I37" s="16"/>
    </row>
    <row r="38" spans="2:11" x14ac:dyDescent="0.3">
      <c r="C38" s="12"/>
      <c r="D38" s="12"/>
      <c r="E38" s="21"/>
      <c r="F38" s="16"/>
      <c r="G38" s="16"/>
      <c r="H38" s="16"/>
      <c r="I38" s="16"/>
    </row>
    <row r="39" spans="2:11" x14ac:dyDescent="0.3">
      <c r="B39" s="5" t="s">
        <v>79</v>
      </c>
      <c r="C39" s="12"/>
      <c r="D39" s="12"/>
      <c r="E39" s="21"/>
      <c r="F39" s="16"/>
      <c r="G39" s="16"/>
      <c r="H39" s="16"/>
      <c r="I39" s="16"/>
    </row>
    <row r="40" spans="2:11" x14ac:dyDescent="0.3">
      <c r="B40" s="4" t="s">
        <v>24</v>
      </c>
      <c r="C40" s="11" t="str">
        <f>+C32</f>
        <v>Q2 2024</v>
      </c>
      <c r="D40" s="11" t="str">
        <f>+D32</f>
        <v>Q3 2024</v>
      </c>
      <c r="E40" s="18" t="s">
        <v>29</v>
      </c>
      <c r="F40" s="19"/>
      <c r="G40" s="16"/>
      <c r="H40" s="16"/>
      <c r="I40" s="16"/>
    </row>
    <row r="41" spans="2:11" x14ac:dyDescent="0.3">
      <c r="B41" t="s">
        <v>32</v>
      </c>
      <c r="C41" s="12">
        <f>+'Q2 2024 SCR'!D41</f>
        <v>11082359.8851978</v>
      </c>
      <c r="D41" s="12">
        <v>8308018.7032041727</v>
      </c>
      <c r="E41" s="21">
        <f t="shared" ref="E41:E46" si="5">+D41-C41</f>
        <v>-2774341.181993627</v>
      </c>
      <c r="F41" s="16"/>
      <c r="G41" s="16"/>
      <c r="H41" s="16"/>
      <c r="I41" s="16"/>
    </row>
    <row r="42" spans="2:11" x14ac:dyDescent="0.3">
      <c r="B42" t="s">
        <v>33</v>
      </c>
      <c r="C42" s="12">
        <f>+'Q2 2024 SCR'!D42</f>
        <v>25501675.237585612</v>
      </c>
      <c r="D42" s="12">
        <v>22432771.938878134</v>
      </c>
      <c r="E42" s="21">
        <f t="shared" si="5"/>
        <v>-3068903.2987074777</v>
      </c>
      <c r="F42" s="16"/>
      <c r="G42" s="16"/>
      <c r="H42" s="16"/>
      <c r="I42" s="16"/>
    </row>
    <row r="43" spans="2:11" x14ac:dyDescent="0.3">
      <c r="B43" t="s">
        <v>34</v>
      </c>
      <c r="C43" s="12">
        <f>+'Q2 2024 SCR'!D43</f>
        <v>1248826.6675433123</v>
      </c>
      <c r="D43" s="12">
        <v>3251136.7898478229</v>
      </c>
      <c r="E43" s="21">
        <f t="shared" si="5"/>
        <v>2002310.1223045106</v>
      </c>
      <c r="F43" s="16"/>
      <c r="G43" s="16"/>
      <c r="H43" s="16"/>
      <c r="I43" s="16"/>
      <c r="J43" s="16"/>
      <c r="K43" s="16"/>
    </row>
    <row r="44" spans="2:11" x14ac:dyDescent="0.3">
      <c r="B44" t="s">
        <v>35</v>
      </c>
      <c r="C44" s="12">
        <f>+'Q2 2024 SCR'!D44</f>
        <v>1182.2288186058252</v>
      </c>
      <c r="D44" s="12">
        <v>891.22211123499471</v>
      </c>
      <c r="E44" s="21">
        <f t="shared" si="5"/>
        <v>-291.00670737083044</v>
      </c>
      <c r="F44" s="16"/>
      <c r="G44" s="16"/>
      <c r="H44" s="16"/>
      <c r="I44" s="16"/>
      <c r="J44" s="16"/>
      <c r="K44" s="16"/>
    </row>
    <row r="45" spans="2:11" x14ac:dyDescent="0.3">
      <c r="B45" t="s">
        <v>36</v>
      </c>
      <c r="C45" s="12">
        <f>+'Q2 2024 SCR'!D45</f>
        <v>14555782.106379559</v>
      </c>
      <c r="D45" s="12">
        <v>14231178.524769437</v>
      </c>
      <c r="E45" s="21">
        <f t="shared" si="5"/>
        <v>-324603.5816101227</v>
      </c>
      <c r="F45" s="16"/>
      <c r="G45" s="16"/>
      <c r="H45" s="16"/>
      <c r="I45" s="16"/>
      <c r="J45" s="16"/>
      <c r="K45" s="16"/>
    </row>
    <row r="46" spans="2:11" ht="16.2" x14ac:dyDescent="0.45">
      <c r="B46" s="6" t="s">
        <v>38</v>
      </c>
      <c r="C46" s="13">
        <f>+'Q2 2024 SCR'!D46</f>
        <v>40032647.088287689</v>
      </c>
      <c r="D46" s="13">
        <v>36150827.726355508</v>
      </c>
      <c r="E46" s="22">
        <f t="shared" si="5"/>
        <v>-3881819.3619321808</v>
      </c>
      <c r="F46" s="16"/>
      <c r="G46" s="16"/>
      <c r="H46" s="16"/>
      <c r="I46" s="16"/>
      <c r="J46" s="16"/>
      <c r="K46" s="16"/>
    </row>
    <row r="47" spans="2:11" x14ac:dyDescent="0.3">
      <c r="C47" s="12"/>
      <c r="D47" s="12"/>
      <c r="E47" s="21"/>
      <c r="F47" s="16"/>
      <c r="G47" s="16"/>
      <c r="H47" s="16"/>
      <c r="I47" s="16"/>
      <c r="J47" s="16"/>
      <c r="K47" s="16"/>
    </row>
    <row r="48" spans="2:11" x14ac:dyDescent="0.3">
      <c r="C48" s="12"/>
      <c r="D48" s="12"/>
      <c r="E48" s="21"/>
      <c r="F48" s="16"/>
      <c r="G48" s="16"/>
      <c r="H48" s="16"/>
      <c r="I48" s="16"/>
      <c r="J48" s="16"/>
      <c r="K48" s="16"/>
    </row>
    <row r="49" spans="2:11" x14ac:dyDescent="0.3">
      <c r="B49" t="s">
        <v>25</v>
      </c>
      <c r="C49" s="9">
        <f>+'Q2 2024 SCR'!D49</f>
        <v>5972583.0282603614</v>
      </c>
      <c r="D49" s="9">
        <v>7075055.7111559398</v>
      </c>
      <c r="E49" s="15">
        <f t="shared" ref="E49:E51" si="6">+D49-C49</f>
        <v>1102472.6828955784</v>
      </c>
      <c r="F49" s="16"/>
      <c r="G49" s="16"/>
      <c r="H49" s="16"/>
      <c r="I49" s="16"/>
      <c r="J49" s="16"/>
      <c r="K49" s="16"/>
    </row>
    <row r="50" spans="2:11" x14ac:dyDescent="0.3">
      <c r="B50" t="s">
        <v>26</v>
      </c>
      <c r="C50" s="9">
        <f>+'Q2 2024 SCR'!D50</f>
        <v>-9439274.9002009481</v>
      </c>
      <c r="D50" s="9">
        <v>-9914265.9455036223</v>
      </c>
      <c r="E50" s="15">
        <f t="shared" si="6"/>
        <v>-474991.04530267417</v>
      </c>
      <c r="F50" s="16"/>
      <c r="G50" s="16"/>
      <c r="H50" s="16"/>
      <c r="I50" s="16"/>
      <c r="J50" s="16"/>
      <c r="K50" s="16"/>
    </row>
    <row r="51" spans="2:11" x14ac:dyDescent="0.3">
      <c r="B51" s="6" t="s">
        <v>27</v>
      </c>
      <c r="C51" s="14">
        <f>+'Q2 2024 SCR'!D51</f>
        <v>36565955.216347098</v>
      </c>
      <c r="D51" s="14">
        <f>+D46+D49+D50</f>
        <v>33311617.492007822</v>
      </c>
      <c r="E51" s="23">
        <f t="shared" si="6"/>
        <v>-3254337.7243392766</v>
      </c>
      <c r="F51" s="16"/>
      <c r="G51" s="16"/>
      <c r="H51" s="16"/>
      <c r="I51" s="16"/>
      <c r="J51" s="16"/>
      <c r="K51" s="16"/>
    </row>
    <row r="52" spans="2:11" x14ac:dyDescent="0.3">
      <c r="C52" s="9"/>
      <c r="D52" s="9"/>
      <c r="E52" s="15"/>
      <c r="F52" s="16"/>
      <c r="G52" s="16"/>
      <c r="H52" s="16"/>
      <c r="I52" s="16"/>
    </row>
    <row r="53" spans="2:11" x14ac:dyDescent="0.3">
      <c r="B53" t="s">
        <v>31</v>
      </c>
      <c r="C53" s="9">
        <f>+'Q2 2024 SCR'!D53</f>
        <v>56683978.235187888</v>
      </c>
      <c r="D53" s="9">
        <v>59066266.009738207</v>
      </c>
      <c r="E53" s="15">
        <f>+D53-C53</f>
        <v>2382287.7745503187</v>
      </c>
      <c r="F53" s="16"/>
      <c r="G53" s="16"/>
      <c r="H53" s="16"/>
      <c r="I53" s="16"/>
    </row>
    <row r="54" spans="2:11" x14ac:dyDescent="0.3">
      <c r="E54" s="16"/>
      <c r="F54" s="16"/>
      <c r="G54" s="16"/>
      <c r="H54" s="16"/>
      <c r="I54" s="16"/>
    </row>
    <row r="55" spans="2:11" x14ac:dyDescent="0.3">
      <c r="B55" s="7" t="s">
        <v>37</v>
      </c>
      <c r="C55" s="8">
        <f>+C53/C51</f>
        <v>1.5501845336682705</v>
      </c>
      <c r="D55" s="8">
        <f>+D53/D51</f>
        <v>1.7731431391438581</v>
      </c>
      <c r="E55" s="24">
        <f>+D55-C55</f>
        <v>0.22295860547558766</v>
      </c>
      <c r="F55" s="16"/>
      <c r="G55" s="16"/>
      <c r="H55" s="16"/>
      <c r="I55" s="16"/>
    </row>
    <row r="56" spans="2:11" x14ac:dyDescent="0.3">
      <c r="E56" s="16"/>
      <c r="F56" s="16"/>
      <c r="G56" s="16"/>
      <c r="H56" s="16"/>
      <c r="I56" s="16"/>
    </row>
    <row r="58" spans="2:11" x14ac:dyDescent="0.3">
      <c r="D58" s="26"/>
    </row>
    <row r="59" spans="2:11" x14ac:dyDescent="0.3">
      <c r="D59" s="26"/>
    </row>
    <row r="60" spans="2:11" x14ac:dyDescent="0.3">
      <c r="D60" s="27"/>
    </row>
    <row r="64" spans="2:11" x14ac:dyDescent="0.3">
      <c r="B64" s="4" t="s">
        <v>39</v>
      </c>
      <c r="C64" s="11">
        <f>+C51</f>
        <v>36565955.216347098</v>
      </c>
    </row>
    <row r="65" spans="2:3" x14ac:dyDescent="0.3">
      <c r="B65" t="s">
        <v>40</v>
      </c>
      <c r="C65" s="12">
        <f>+E41</f>
        <v>-2774341.181993627</v>
      </c>
    </row>
    <row r="66" spans="2:3" x14ac:dyDescent="0.3">
      <c r="B66" t="s">
        <v>41</v>
      </c>
      <c r="C66" s="12">
        <f t="shared" ref="C66:C69" si="7">+E42</f>
        <v>-3068903.2987074777</v>
      </c>
    </row>
    <row r="67" spans="2:3" x14ac:dyDescent="0.3">
      <c r="B67" t="s">
        <v>42</v>
      </c>
      <c r="C67" s="12">
        <f t="shared" si="7"/>
        <v>2002310.1223045106</v>
      </c>
    </row>
    <row r="68" spans="2:3" x14ac:dyDescent="0.3">
      <c r="B68" t="s">
        <v>43</v>
      </c>
      <c r="C68" s="12">
        <f t="shared" si="7"/>
        <v>-291.00670737083044</v>
      </c>
    </row>
    <row r="69" spans="2:3" x14ac:dyDescent="0.3">
      <c r="B69" t="s">
        <v>44</v>
      </c>
      <c r="C69" s="12">
        <f t="shared" si="7"/>
        <v>-324603.5816101227</v>
      </c>
    </row>
    <row r="70" spans="2:3" x14ac:dyDescent="0.3">
      <c r="B70" t="s">
        <v>45</v>
      </c>
      <c r="C70" s="12">
        <f>-SUM(E41:E45)+E46</f>
        <v>284009.58478190703</v>
      </c>
    </row>
    <row r="71" spans="2:3" x14ac:dyDescent="0.3">
      <c r="B71" t="s">
        <v>46</v>
      </c>
      <c r="C71" s="12">
        <f>+E49</f>
        <v>1102472.6828955784</v>
      </c>
    </row>
    <row r="72" spans="2:3" x14ac:dyDescent="0.3">
      <c r="B72" t="s">
        <v>47</v>
      </c>
      <c r="C72" s="12">
        <f>+E50</f>
        <v>-474991.04530267417</v>
      </c>
    </row>
    <row r="73" spans="2:3" x14ac:dyDescent="0.3">
      <c r="B73" s="4" t="s">
        <v>81</v>
      </c>
      <c r="C73" s="11">
        <f>+SUM(C64:C72)</f>
        <v>33311617.492007822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A3371-E753-47AD-BD86-D7FC4AB5CBCC}">
  <dimension ref="B1:I73"/>
  <sheetViews>
    <sheetView showGridLines="0" topLeftCell="A24" workbookViewId="0">
      <selection activeCell="D20" sqref="D20"/>
    </sheetView>
  </sheetViews>
  <sheetFormatPr defaultRowHeight="14.4" x14ac:dyDescent="0.3"/>
  <cols>
    <col min="1" max="1" width="4.33203125" customWidth="1"/>
    <col min="2" max="2" width="22.77734375" customWidth="1"/>
    <col min="3" max="3" width="13.88671875" bestFit="1" customWidth="1"/>
    <col min="4" max="4" width="17.77734375" bestFit="1" customWidth="1"/>
    <col min="5" max="5" width="13.88671875" bestFit="1" customWidth="1"/>
    <col min="6" max="6" width="40.77734375" customWidth="1"/>
  </cols>
  <sheetData>
    <row r="1" spans="2:9" x14ac:dyDescent="0.3">
      <c r="B1" s="5" t="s">
        <v>80</v>
      </c>
    </row>
    <row r="2" spans="2:9" x14ac:dyDescent="0.3">
      <c r="B2" s="2" t="s">
        <v>0</v>
      </c>
      <c r="C2" s="4" t="s">
        <v>84</v>
      </c>
      <c r="D2" s="4" t="s">
        <v>82</v>
      </c>
      <c r="E2" s="4" t="s">
        <v>29</v>
      </c>
      <c r="F2" s="4"/>
    </row>
    <row r="3" spans="2:9" x14ac:dyDescent="0.3">
      <c r="B3" t="s">
        <v>1</v>
      </c>
      <c r="C3" s="9">
        <f>+'Q3 2024 SCR'!D3</f>
        <v>2407319.5553751588</v>
      </c>
      <c r="D3" s="9">
        <v>332435.69831251726</v>
      </c>
      <c r="E3" s="15">
        <f>+D3-C3</f>
        <v>-2074883.8570626415</v>
      </c>
      <c r="F3" s="16"/>
      <c r="G3" s="16"/>
      <c r="H3" s="16"/>
      <c r="I3" s="16"/>
    </row>
    <row r="4" spans="2:9" x14ac:dyDescent="0.3">
      <c r="B4" t="s">
        <v>2</v>
      </c>
      <c r="C4" s="9">
        <f>+'Q3 2024 SCR'!D4</f>
        <v>570462.88871009904</v>
      </c>
      <c r="D4" s="9">
        <v>674028.17378337239</v>
      </c>
      <c r="E4" s="15">
        <f t="shared" ref="E4:E9" si="0">+D4-C4</f>
        <v>103565.28507327335</v>
      </c>
      <c r="F4" s="16"/>
      <c r="G4" s="16"/>
      <c r="H4" s="16"/>
      <c r="I4" s="16"/>
    </row>
    <row r="5" spans="2:9" x14ac:dyDescent="0.3">
      <c r="B5" t="s">
        <v>3</v>
      </c>
      <c r="C5" s="9">
        <f>+'Q3 2024 SCR'!D5</f>
        <v>0</v>
      </c>
      <c r="D5" s="9">
        <v>0</v>
      </c>
      <c r="E5" s="15">
        <f t="shared" si="0"/>
        <v>0</v>
      </c>
      <c r="F5" s="16"/>
      <c r="G5" s="16"/>
      <c r="H5" s="16"/>
      <c r="I5" s="16"/>
    </row>
    <row r="6" spans="2:9" x14ac:dyDescent="0.3">
      <c r="B6" t="s">
        <v>4</v>
      </c>
      <c r="C6" s="9">
        <f>+'Q3 2024 SCR'!D6</f>
        <v>111173.29198629409</v>
      </c>
      <c r="D6" s="9">
        <v>90491.784246567637</v>
      </c>
      <c r="E6" s="15">
        <f t="shared" si="0"/>
        <v>-20681.507739726454</v>
      </c>
      <c r="F6" s="16"/>
      <c r="G6" s="16"/>
      <c r="H6" s="16"/>
      <c r="I6" s="16"/>
    </row>
    <row r="7" spans="2:9" x14ac:dyDescent="0.3">
      <c r="B7" t="s">
        <v>5</v>
      </c>
      <c r="C7" s="9">
        <f>+'Q3 2024 SCR'!D7</f>
        <v>7085730.5775050297</v>
      </c>
      <c r="D7" s="9">
        <v>6582811.0733741131</v>
      </c>
      <c r="E7" s="15">
        <f t="shared" si="0"/>
        <v>-502919.50413091667</v>
      </c>
      <c r="F7" s="16"/>
      <c r="G7" s="16"/>
      <c r="H7" s="16"/>
      <c r="I7" s="16"/>
    </row>
    <row r="8" spans="2:9" x14ac:dyDescent="0.3">
      <c r="B8" t="s">
        <v>6</v>
      </c>
      <c r="C8" s="9">
        <f>+'Q3 2024 SCR'!D8</f>
        <v>53118.609347170874</v>
      </c>
      <c r="D8" s="9">
        <v>71959.886674235007</v>
      </c>
      <c r="E8" s="15">
        <f t="shared" si="0"/>
        <v>18841.277327064134</v>
      </c>
      <c r="F8" s="16"/>
      <c r="G8" s="16"/>
      <c r="H8" s="16"/>
      <c r="I8" s="16"/>
    </row>
    <row r="9" spans="2:9" ht="16.2" x14ac:dyDescent="0.45">
      <c r="B9" s="6" t="s">
        <v>7</v>
      </c>
      <c r="C9" s="10">
        <f>+'Q3 2024 SCR'!D9</f>
        <v>8308018.7032041727</v>
      </c>
      <c r="D9" s="10">
        <v>6918653.5361755108</v>
      </c>
      <c r="E9" s="17">
        <f t="shared" si="0"/>
        <v>-1389365.1670286618</v>
      </c>
      <c r="F9" s="16"/>
      <c r="G9" s="16"/>
      <c r="H9" s="16"/>
      <c r="I9" s="16"/>
    </row>
    <row r="10" spans="2:9" x14ac:dyDescent="0.3">
      <c r="C10" s="9"/>
      <c r="D10" s="9"/>
      <c r="E10" s="15"/>
      <c r="F10" s="16"/>
      <c r="G10" s="16"/>
      <c r="H10" s="16"/>
      <c r="I10" s="16"/>
    </row>
    <row r="11" spans="2:9" x14ac:dyDescent="0.3">
      <c r="B11" s="2" t="s">
        <v>8</v>
      </c>
      <c r="C11" s="11" t="str">
        <f>+C2</f>
        <v>Q3 2024</v>
      </c>
      <c r="D11" s="11" t="str">
        <f>+D2</f>
        <v>Q4 2024</v>
      </c>
      <c r="E11" s="18" t="s">
        <v>29</v>
      </c>
      <c r="F11" s="19"/>
      <c r="G11" s="16"/>
      <c r="H11" s="16"/>
      <c r="I11" s="16"/>
    </row>
    <row r="12" spans="2:9" x14ac:dyDescent="0.3">
      <c r="B12" t="s">
        <v>9</v>
      </c>
      <c r="C12" s="9">
        <f>+'Q3 2024 SCR'!D12</f>
        <v>8708313.7287113052</v>
      </c>
      <c r="D12" s="9">
        <v>9664490.3788441643</v>
      </c>
      <c r="E12" s="15">
        <f t="shared" ref="E12:E14" si="1">+D12-C12</f>
        <v>956176.65013285913</v>
      </c>
      <c r="F12" s="16"/>
      <c r="G12" s="16"/>
      <c r="H12" s="16"/>
      <c r="I12" s="16"/>
    </row>
    <row r="13" spans="2:9" x14ac:dyDescent="0.3">
      <c r="B13" t="s">
        <v>10</v>
      </c>
      <c r="C13" s="9">
        <f>+'Q3 2024 SCR'!D13</f>
        <v>15149437.279812977</v>
      </c>
      <c r="D13" s="9">
        <v>14136391.352348806</v>
      </c>
      <c r="E13" s="15">
        <f t="shared" si="1"/>
        <v>-1013045.9274641704</v>
      </c>
      <c r="F13" s="25"/>
      <c r="G13" s="16"/>
      <c r="H13" s="16"/>
      <c r="I13" s="16"/>
    </row>
    <row r="14" spans="2:9" ht="16.2" x14ac:dyDescent="0.45">
      <c r="B14" s="6" t="s">
        <v>7</v>
      </c>
      <c r="C14" s="10">
        <f>+'Q3 2024 SCR'!D14</f>
        <v>22432771.938878134</v>
      </c>
      <c r="D14" s="10">
        <v>22319754.973432384</v>
      </c>
      <c r="E14" s="17">
        <f t="shared" si="1"/>
        <v>-113016.96544574946</v>
      </c>
      <c r="F14" s="16"/>
      <c r="G14" s="16"/>
      <c r="H14" s="16"/>
      <c r="I14" s="16"/>
    </row>
    <row r="15" spans="2:9" x14ac:dyDescent="0.3">
      <c r="C15" s="1"/>
      <c r="D15" s="1"/>
      <c r="E15" s="20"/>
      <c r="F15" s="16"/>
      <c r="G15" s="16"/>
      <c r="H15" s="16"/>
      <c r="I15" s="16"/>
    </row>
    <row r="16" spans="2:9" x14ac:dyDescent="0.3">
      <c r="B16" s="2" t="s">
        <v>11</v>
      </c>
      <c r="C16" s="11" t="str">
        <f>+C11</f>
        <v>Q3 2024</v>
      </c>
      <c r="D16" s="11" t="str">
        <f>+D11</f>
        <v>Q4 2024</v>
      </c>
      <c r="E16" s="19" t="s">
        <v>29</v>
      </c>
      <c r="F16" s="19"/>
      <c r="G16" s="16"/>
      <c r="H16" s="16"/>
      <c r="I16" s="16"/>
    </row>
    <row r="17" spans="2:9" x14ac:dyDescent="0.3">
      <c r="B17" t="s">
        <v>12</v>
      </c>
      <c r="C17" s="9">
        <f>+'Q3 2024 SCR'!D17</f>
        <v>11382818.475012481</v>
      </c>
      <c r="D17" s="9">
        <v>7299512.1784551796</v>
      </c>
      <c r="E17" s="15">
        <f t="shared" ref="E17:E20" si="2">+D17-C17</f>
        <v>-4083306.2965573017</v>
      </c>
      <c r="F17" s="16"/>
      <c r="G17" s="16"/>
      <c r="H17" s="16"/>
      <c r="I17" s="16"/>
    </row>
    <row r="18" spans="2:9" x14ac:dyDescent="0.3">
      <c r="B18" t="s">
        <v>13</v>
      </c>
      <c r="C18" s="9">
        <f>+'Q3 2024 SCR'!D18</f>
        <v>0</v>
      </c>
      <c r="D18" s="9">
        <v>1800494.7580152883</v>
      </c>
      <c r="E18" s="15">
        <f t="shared" si="2"/>
        <v>1800494.7580152883</v>
      </c>
      <c r="F18" s="16"/>
      <c r="G18" s="16"/>
      <c r="H18" s="16"/>
      <c r="I18" s="16"/>
    </row>
    <row r="19" spans="2:9" x14ac:dyDescent="0.3">
      <c r="B19" t="s">
        <v>14</v>
      </c>
      <c r="C19" s="9">
        <f>+'Q3 2024 SCR'!D19</f>
        <v>6157401.5422318839</v>
      </c>
      <c r="D19" s="9">
        <v>3578065.8996782294</v>
      </c>
      <c r="E19" s="15">
        <f t="shared" si="2"/>
        <v>-2579335.6425536545</v>
      </c>
      <c r="F19" s="16"/>
      <c r="G19" s="16"/>
      <c r="H19" s="16"/>
      <c r="I19" s="16"/>
    </row>
    <row r="20" spans="2:9" ht="16.2" x14ac:dyDescent="0.45">
      <c r="B20" s="6" t="s">
        <v>7</v>
      </c>
      <c r="C20" s="10">
        <f>+'Q3 2024 SCR'!D20</f>
        <v>14231178.524769437</v>
      </c>
      <c r="D20" s="10">
        <v>9076688.9780637752</v>
      </c>
      <c r="E20" s="17">
        <f t="shared" si="2"/>
        <v>-5154489.5467056613</v>
      </c>
      <c r="F20" s="16"/>
      <c r="G20" s="16"/>
      <c r="H20" s="16"/>
      <c r="I20" s="16"/>
    </row>
    <row r="21" spans="2:9" x14ac:dyDescent="0.3">
      <c r="C21" s="9"/>
      <c r="D21" s="9"/>
      <c r="E21" s="15"/>
      <c r="F21" s="16"/>
      <c r="G21" s="16"/>
      <c r="H21" s="16"/>
      <c r="I21" s="16"/>
    </row>
    <row r="22" spans="2:9" x14ac:dyDescent="0.3">
      <c r="B22" s="2" t="s">
        <v>15</v>
      </c>
      <c r="C22" s="11" t="str">
        <f>+C16</f>
        <v>Q3 2024</v>
      </c>
      <c r="D22" s="11" t="str">
        <f>+D16</f>
        <v>Q4 2024</v>
      </c>
      <c r="E22" s="18" t="s">
        <v>29</v>
      </c>
      <c r="F22" s="19"/>
      <c r="G22" s="16"/>
      <c r="H22" s="16"/>
      <c r="I22" s="16"/>
    </row>
    <row r="23" spans="2:9" x14ac:dyDescent="0.3">
      <c r="B23" t="s">
        <v>16</v>
      </c>
      <c r="C23" s="9">
        <f>+'Q3 2024 SCR'!D23</f>
        <v>807128.08908334374</v>
      </c>
      <c r="D23" s="9">
        <v>277220.83889872581</v>
      </c>
      <c r="E23" s="15">
        <f t="shared" ref="E23:E30" si="3">+D23-C23</f>
        <v>-529907.25018461794</v>
      </c>
      <c r="F23" s="16"/>
      <c r="G23" s="16"/>
      <c r="H23" s="16"/>
      <c r="I23" s="16"/>
    </row>
    <row r="24" spans="2:9" x14ac:dyDescent="0.3">
      <c r="B24" t="s">
        <v>17</v>
      </c>
      <c r="C24" s="9">
        <f>+'Q3 2024 SCR'!D24</f>
        <v>0</v>
      </c>
      <c r="D24" s="9">
        <v>0</v>
      </c>
      <c r="E24" s="15">
        <f t="shared" si="3"/>
        <v>0</v>
      </c>
      <c r="F24" s="16"/>
      <c r="G24" s="16"/>
      <c r="H24" s="16"/>
      <c r="I24" s="16"/>
    </row>
    <row r="25" spans="2:9" x14ac:dyDescent="0.3">
      <c r="B25" t="s">
        <v>18</v>
      </c>
      <c r="C25" s="9">
        <f>+'Q3 2024 SCR'!D25</f>
        <v>748507.84469088167</v>
      </c>
      <c r="D25" s="9">
        <v>154198.18121241778</v>
      </c>
      <c r="E25" s="15">
        <f t="shared" si="3"/>
        <v>-594309.66347846389</v>
      </c>
      <c r="F25" s="16"/>
      <c r="G25" s="16"/>
      <c r="H25" s="16"/>
      <c r="I25" s="16"/>
    </row>
    <row r="26" spans="2:9" x14ac:dyDescent="0.3">
      <c r="B26" t="s">
        <v>19</v>
      </c>
      <c r="C26" s="9">
        <f>+'Q3 2024 SCR'!D26</f>
        <v>145951.50902121514</v>
      </c>
      <c r="D26" s="9">
        <v>887358.86070103943</v>
      </c>
      <c r="E26" s="15">
        <f t="shared" si="3"/>
        <v>741407.35167982429</v>
      </c>
      <c r="F26" s="16"/>
      <c r="G26" s="16"/>
      <c r="H26" s="16"/>
      <c r="I26" s="16"/>
    </row>
    <row r="27" spans="2:9" x14ac:dyDescent="0.3">
      <c r="B27" t="s">
        <v>20</v>
      </c>
      <c r="C27" s="9">
        <f>+'Q3 2024 SCR'!D27</f>
        <v>71557.156031504273</v>
      </c>
      <c r="D27" s="9">
        <v>10152.708359517157</v>
      </c>
      <c r="E27" s="15">
        <f t="shared" si="3"/>
        <v>-61404.447671987116</v>
      </c>
      <c r="F27" s="16"/>
      <c r="G27" s="16"/>
      <c r="H27" s="16"/>
      <c r="I27" s="16"/>
    </row>
    <row r="28" spans="2:9" x14ac:dyDescent="0.3">
      <c r="B28" t="s">
        <v>21</v>
      </c>
      <c r="C28" s="9">
        <f>+'Q3 2024 SCR'!D28</f>
        <v>0</v>
      </c>
      <c r="D28" s="9">
        <v>0</v>
      </c>
      <c r="E28" s="15">
        <f t="shared" si="3"/>
        <v>0</v>
      </c>
      <c r="F28" s="16"/>
      <c r="G28" s="16"/>
      <c r="H28" s="16"/>
      <c r="I28" s="16"/>
    </row>
    <row r="29" spans="2:9" x14ac:dyDescent="0.3">
      <c r="B29" t="s">
        <v>22</v>
      </c>
      <c r="C29" s="9">
        <f>+'Q3 2024 SCR'!D29</f>
        <v>2578848.4114092663</v>
      </c>
      <c r="D29" s="9">
        <v>2467164.2456025034</v>
      </c>
      <c r="E29" s="15">
        <f t="shared" si="3"/>
        <v>-111684.16580676287</v>
      </c>
      <c r="F29" s="16"/>
      <c r="G29" s="16"/>
      <c r="H29" s="16"/>
      <c r="I29" s="16"/>
    </row>
    <row r="30" spans="2:9" ht="16.2" x14ac:dyDescent="0.45">
      <c r="B30" s="6" t="s">
        <v>7</v>
      </c>
      <c r="C30" s="10">
        <f>+'Q3 2024 SCR'!D30</f>
        <v>3251136.7898478229</v>
      </c>
      <c r="D30" s="10">
        <v>2940703.5043357764</v>
      </c>
      <c r="E30" s="17">
        <f t="shared" si="3"/>
        <v>-310433.28551204642</v>
      </c>
      <c r="F30" s="16"/>
      <c r="G30" s="16"/>
      <c r="H30" s="16"/>
      <c r="I30" s="16"/>
    </row>
    <row r="31" spans="2:9" x14ac:dyDescent="0.3">
      <c r="C31" s="9"/>
      <c r="D31" s="9"/>
      <c r="E31" s="15"/>
      <c r="F31" s="16"/>
      <c r="G31" s="16"/>
      <c r="H31" s="16"/>
      <c r="I31" s="16"/>
    </row>
    <row r="32" spans="2:9" x14ac:dyDescent="0.3">
      <c r="B32" s="2" t="s">
        <v>23</v>
      </c>
      <c r="C32" s="11" t="str">
        <f>+C22</f>
        <v>Q3 2024</v>
      </c>
      <c r="D32" s="11" t="str">
        <f>+D22</f>
        <v>Q4 2024</v>
      </c>
      <c r="E32" s="18" t="s">
        <v>29</v>
      </c>
      <c r="F32" s="19"/>
      <c r="G32" s="16"/>
      <c r="H32" s="16"/>
      <c r="I32" s="16"/>
    </row>
    <row r="33" spans="2:9" x14ac:dyDescent="0.3">
      <c r="B33" t="s">
        <v>12</v>
      </c>
      <c r="C33" s="9">
        <f>+'Q3 2024 SCR'!D33</f>
        <v>891.22211123499471</v>
      </c>
      <c r="D33" s="9">
        <v>299.43900469352235</v>
      </c>
      <c r="E33" s="15">
        <f t="shared" ref="E33:E35" si="4">+D33-C33</f>
        <v>-591.78310654147231</v>
      </c>
      <c r="F33" s="16"/>
      <c r="G33" s="16"/>
      <c r="H33" s="16"/>
      <c r="I33" s="16"/>
    </row>
    <row r="34" spans="2:9" x14ac:dyDescent="0.3">
      <c r="B34" t="s">
        <v>14</v>
      </c>
      <c r="C34" s="9">
        <f>+'Q3 2024 SCR'!D34</f>
        <v>0</v>
      </c>
      <c r="D34" s="9">
        <v>220142.56033319543</v>
      </c>
      <c r="E34" s="15">
        <f t="shared" si="4"/>
        <v>220142.56033319543</v>
      </c>
      <c r="F34" s="16"/>
      <c r="G34" s="16"/>
      <c r="H34" s="16"/>
      <c r="I34" s="16"/>
    </row>
    <row r="35" spans="2:9" ht="16.2" x14ac:dyDescent="0.45">
      <c r="B35" s="6" t="s">
        <v>7</v>
      </c>
      <c r="C35" s="10">
        <f>+'Q3 2024 SCR'!D35</f>
        <v>891.22211123499471</v>
      </c>
      <c r="D35" s="10">
        <v>220217.61094052071</v>
      </c>
      <c r="E35" s="17">
        <f t="shared" si="4"/>
        <v>219326.38882928572</v>
      </c>
      <c r="F35" s="16"/>
      <c r="G35" s="16"/>
      <c r="H35" s="16"/>
      <c r="I35" s="16"/>
    </row>
    <row r="36" spans="2:9" x14ac:dyDescent="0.3">
      <c r="B36" s="3"/>
      <c r="C36" s="9"/>
      <c r="D36" s="9"/>
      <c r="E36" s="15"/>
      <c r="F36" s="16"/>
      <c r="G36" s="16"/>
      <c r="H36" s="16"/>
      <c r="I36" s="16"/>
    </row>
    <row r="37" spans="2:9" x14ac:dyDescent="0.3">
      <c r="B37" s="3"/>
      <c r="C37" s="9"/>
      <c r="D37" s="9"/>
      <c r="E37" s="15"/>
      <c r="F37" s="16"/>
      <c r="G37" s="16"/>
      <c r="H37" s="16"/>
      <c r="I37" s="16"/>
    </row>
    <row r="38" spans="2:9" x14ac:dyDescent="0.3">
      <c r="C38" s="12"/>
      <c r="D38" s="12"/>
      <c r="E38" s="21"/>
      <c r="F38" s="16"/>
      <c r="G38" s="16"/>
      <c r="H38" s="16"/>
      <c r="I38" s="16"/>
    </row>
    <row r="39" spans="2:9" x14ac:dyDescent="0.3">
      <c r="B39" s="5" t="s">
        <v>79</v>
      </c>
      <c r="C39" s="12"/>
      <c r="D39" s="12"/>
      <c r="E39" s="21"/>
      <c r="F39" s="16"/>
      <c r="G39" s="16"/>
      <c r="H39" s="16"/>
      <c r="I39" s="16"/>
    </row>
    <row r="40" spans="2:9" x14ac:dyDescent="0.3">
      <c r="B40" s="4" t="s">
        <v>24</v>
      </c>
      <c r="C40" s="11" t="str">
        <f>+C32</f>
        <v>Q3 2024</v>
      </c>
      <c r="D40" s="11" t="str">
        <f>+D32</f>
        <v>Q4 2024</v>
      </c>
      <c r="E40" s="18" t="s">
        <v>29</v>
      </c>
      <c r="F40" s="19"/>
      <c r="G40" s="16"/>
      <c r="H40" s="16"/>
      <c r="I40" s="16"/>
    </row>
    <row r="41" spans="2:9" x14ac:dyDescent="0.3">
      <c r="B41" t="s">
        <v>32</v>
      </c>
      <c r="C41" s="12">
        <f>+'Q3 2024 SCR'!D41</f>
        <v>8308018.7032041727</v>
      </c>
      <c r="D41" s="12">
        <v>6918653.5361755108</v>
      </c>
      <c r="E41" s="21">
        <f t="shared" ref="E41:E46" si="5">+D41-C41</f>
        <v>-1389365.1670286618</v>
      </c>
      <c r="F41" s="16"/>
      <c r="G41" s="16"/>
      <c r="H41" s="16"/>
      <c r="I41" s="16"/>
    </row>
    <row r="42" spans="2:9" x14ac:dyDescent="0.3">
      <c r="B42" t="s">
        <v>33</v>
      </c>
      <c r="C42" s="12">
        <f>+'Q3 2024 SCR'!D42</f>
        <v>22432771.938878134</v>
      </c>
      <c r="D42" s="12">
        <v>22319754.973432388</v>
      </c>
      <c r="E42" s="21">
        <f t="shared" si="5"/>
        <v>-113016.96544574574</v>
      </c>
      <c r="F42" s="16"/>
      <c r="G42" s="16"/>
      <c r="H42" s="16"/>
      <c r="I42" s="16"/>
    </row>
    <row r="43" spans="2:9" x14ac:dyDescent="0.3">
      <c r="B43" t="s">
        <v>34</v>
      </c>
      <c r="C43" s="12">
        <f>+'Q3 2024 SCR'!D43</f>
        <v>3251136.7898478229</v>
      </c>
      <c r="D43" s="12">
        <v>2940703.5043357764</v>
      </c>
      <c r="E43" s="21">
        <f t="shared" si="5"/>
        <v>-310433.28551204642</v>
      </c>
      <c r="F43" s="16"/>
      <c r="G43" s="16"/>
      <c r="H43" s="16"/>
      <c r="I43" s="16"/>
    </row>
    <row r="44" spans="2:9" x14ac:dyDescent="0.3">
      <c r="B44" t="s">
        <v>35</v>
      </c>
      <c r="C44" s="12">
        <f>+'Q3 2024 SCR'!D44</f>
        <v>891.22211123499471</v>
      </c>
      <c r="D44" s="12">
        <v>220217.61094052071</v>
      </c>
      <c r="E44" s="21">
        <f t="shared" si="5"/>
        <v>219326.38882928572</v>
      </c>
      <c r="F44" s="16"/>
      <c r="G44" s="16"/>
      <c r="H44" s="16"/>
      <c r="I44" s="16"/>
    </row>
    <row r="45" spans="2:9" x14ac:dyDescent="0.3">
      <c r="B45" t="s">
        <v>36</v>
      </c>
      <c r="C45" s="12">
        <f>+'Q3 2024 SCR'!D45</f>
        <v>14231178.524769437</v>
      </c>
      <c r="D45" s="12">
        <v>9076688.9780637752</v>
      </c>
      <c r="E45" s="21">
        <f t="shared" si="5"/>
        <v>-5154489.5467056613</v>
      </c>
      <c r="F45" s="16"/>
      <c r="G45" s="16"/>
      <c r="H45" s="16"/>
      <c r="I45" s="16"/>
    </row>
    <row r="46" spans="2:9" ht="16.2" x14ac:dyDescent="0.45">
      <c r="B46" s="6" t="s">
        <v>38</v>
      </c>
      <c r="C46" s="13">
        <f>+'Q3 2024 SCR'!D46</f>
        <v>36150827.726355508</v>
      </c>
      <c r="D46" s="13">
        <v>31541333.615448888</v>
      </c>
      <c r="E46" s="22">
        <f t="shared" si="5"/>
        <v>-4609494.1109066196</v>
      </c>
      <c r="F46" s="16"/>
      <c r="G46" s="16"/>
      <c r="H46" s="16"/>
      <c r="I46" s="16"/>
    </row>
    <row r="47" spans="2:9" x14ac:dyDescent="0.3">
      <c r="C47" s="12"/>
      <c r="D47" s="12"/>
      <c r="E47" s="21"/>
      <c r="F47" s="16"/>
      <c r="G47" s="16"/>
      <c r="H47" s="16"/>
      <c r="I47" s="16"/>
    </row>
    <row r="48" spans="2:9" x14ac:dyDescent="0.3">
      <c r="C48" s="12"/>
      <c r="D48" s="12"/>
      <c r="E48" s="21"/>
      <c r="F48" s="16"/>
      <c r="G48" s="16"/>
      <c r="H48" s="16"/>
      <c r="I48" s="16"/>
    </row>
    <row r="49" spans="2:9" x14ac:dyDescent="0.3">
      <c r="B49" t="s">
        <v>25</v>
      </c>
      <c r="C49" s="9">
        <f>+'Q3 2024 SCR'!D49</f>
        <v>7075055.7111559398</v>
      </c>
      <c r="D49" s="9">
        <v>8923159.1101645045</v>
      </c>
      <c r="E49" s="15">
        <f t="shared" ref="E49:E51" si="6">+D49-C49</f>
        <v>1848103.3990085647</v>
      </c>
      <c r="F49" s="16"/>
      <c r="G49" s="16"/>
      <c r="H49" s="16"/>
      <c r="I49" s="16"/>
    </row>
    <row r="50" spans="2:9" x14ac:dyDescent="0.3">
      <c r="B50" t="s">
        <v>26</v>
      </c>
      <c r="C50" s="9">
        <f>+'Q3 2024 SCR'!D50</f>
        <v>-9914265.9455036223</v>
      </c>
      <c r="D50" s="9">
        <v>-9166688.3541533463</v>
      </c>
      <c r="E50" s="15">
        <f t="shared" si="6"/>
        <v>747577.59135027602</v>
      </c>
      <c r="F50" s="16"/>
      <c r="G50" s="16"/>
      <c r="H50" s="16"/>
      <c r="I50" s="16"/>
    </row>
    <row r="51" spans="2:9" x14ac:dyDescent="0.3">
      <c r="B51" s="6" t="s">
        <v>27</v>
      </c>
      <c r="C51" s="14">
        <f>+'Q3 2024 SCR'!D51</f>
        <v>33311617.492007822</v>
      </c>
      <c r="D51" s="14">
        <f>+D46+D49+D50</f>
        <v>31297804.371460047</v>
      </c>
      <c r="E51" s="23">
        <f t="shared" si="6"/>
        <v>-2013813.1205477752</v>
      </c>
      <c r="F51" s="16"/>
      <c r="G51" s="16"/>
      <c r="H51" s="16"/>
      <c r="I51" s="16"/>
    </row>
    <row r="52" spans="2:9" x14ac:dyDescent="0.3">
      <c r="C52" s="9"/>
      <c r="D52" s="9"/>
      <c r="E52" s="15"/>
      <c r="F52" s="16"/>
      <c r="G52" s="16"/>
      <c r="H52" s="16"/>
      <c r="I52" s="16"/>
    </row>
    <row r="53" spans="2:9" x14ac:dyDescent="0.3">
      <c r="B53" t="s">
        <v>31</v>
      </c>
      <c r="C53" s="9">
        <f>+'Q3 2024 SCR'!D53</f>
        <v>59066266.009738207</v>
      </c>
      <c r="D53" s="9">
        <v>56816339.238130927</v>
      </c>
      <c r="E53" s="15">
        <f>+D53-C53</f>
        <v>-2249926.7716072798</v>
      </c>
      <c r="F53" s="16"/>
      <c r="G53" s="16"/>
      <c r="H53" s="16"/>
      <c r="I53" s="16"/>
    </row>
    <row r="54" spans="2:9" x14ac:dyDescent="0.3">
      <c r="E54" s="16"/>
      <c r="F54" s="16"/>
      <c r="G54" s="16"/>
      <c r="H54" s="16"/>
      <c r="I54" s="16"/>
    </row>
    <row r="55" spans="2:9" x14ac:dyDescent="0.3">
      <c r="B55" s="7" t="s">
        <v>37</v>
      </c>
      <c r="C55" s="8">
        <f>+C53/C51</f>
        <v>1.7731431391438581</v>
      </c>
      <c r="D55" s="8">
        <f>+D53/D51</f>
        <v>1.8153458486672891</v>
      </c>
      <c r="E55" s="24">
        <f>+D55-C55</f>
        <v>4.220270952343097E-2</v>
      </c>
      <c r="F55" s="16"/>
      <c r="G55" s="16"/>
      <c r="H55" s="16"/>
      <c r="I55" s="16"/>
    </row>
    <row r="56" spans="2:9" x14ac:dyDescent="0.3">
      <c r="E56" s="16"/>
      <c r="F56" s="16"/>
      <c r="G56" s="16"/>
      <c r="H56" s="16"/>
      <c r="I56" s="16"/>
    </row>
    <row r="58" spans="2:9" x14ac:dyDescent="0.3">
      <c r="D58" s="26"/>
    </row>
    <row r="59" spans="2:9" x14ac:dyDescent="0.3">
      <c r="D59" s="26"/>
    </row>
    <row r="60" spans="2:9" x14ac:dyDescent="0.3">
      <c r="D60" s="27"/>
    </row>
    <row r="64" spans="2:9" x14ac:dyDescent="0.3">
      <c r="B64" s="4" t="s">
        <v>39</v>
      </c>
      <c r="C64" s="11">
        <f>+C51</f>
        <v>33311617.492007822</v>
      </c>
    </row>
    <row r="65" spans="2:3" x14ac:dyDescent="0.3">
      <c r="B65" t="s">
        <v>40</v>
      </c>
      <c r="C65" s="12">
        <f>+E41</f>
        <v>-1389365.1670286618</v>
      </c>
    </row>
    <row r="66" spans="2:3" x14ac:dyDescent="0.3">
      <c r="B66" t="s">
        <v>41</v>
      </c>
      <c r="C66" s="12">
        <f t="shared" ref="C66:C69" si="7">+E42</f>
        <v>-113016.96544574574</v>
      </c>
    </row>
    <row r="67" spans="2:3" x14ac:dyDescent="0.3">
      <c r="B67" t="s">
        <v>42</v>
      </c>
      <c r="C67" s="12">
        <f t="shared" si="7"/>
        <v>-310433.28551204642</v>
      </c>
    </row>
    <row r="68" spans="2:3" x14ac:dyDescent="0.3">
      <c r="B68" t="s">
        <v>43</v>
      </c>
      <c r="C68" s="12">
        <f t="shared" si="7"/>
        <v>219326.38882928572</v>
      </c>
    </row>
    <row r="69" spans="2:3" x14ac:dyDescent="0.3">
      <c r="B69" t="s">
        <v>44</v>
      </c>
      <c r="C69" s="12">
        <f t="shared" si="7"/>
        <v>-5154489.5467056613</v>
      </c>
    </row>
    <row r="70" spans="2:3" x14ac:dyDescent="0.3">
      <c r="B70" t="s">
        <v>45</v>
      </c>
      <c r="C70" s="12">
        <f>-SUM(E41:E45)+E46</f>
        <v>2138484.46495621</v>
      </c>
    </row>
    <row r="71" spans="2:3" x14ac:dyDescent="0.3">
      <c r="B71" t="s">
        <v>46</v>
      </c>
      <c r="C71" s="12">
        <f>+E49</f>
        <v>1848103.3990085647</v>
      </c>
    </row>
    <row r="72" spans="2:3" x14ac:dyDescent="0.3">
      <c r="B72" t="s">
        <v>47</v>
      </c>
      <c r="C72" s="12">
        <f>+E50</f>
        <v>747577.59135027602</v>
      </c>
    </row>
    <row r="73" spans="2:3" x14ac:dyDescent="0.3">
      <c r="B73" s="4" t="s">
        <v>81</v>
      </c>
      <c r="C73" s="11">
        <f>+SUM(C64:C72)</f>
        <v>31297804.371460047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9DC93-819F-4F87-B783-E4028327D8DA}">
  <dimension ref="B1:I73"/>
  <sheetViews>
    <sheetView showGridLines="0" topLeftCell="A18" workbookViewId="0">
      <selection activeCell="E55" sqref="E55"/>
    </sheetView>
  </sheetViews>
  <sheetFormatPr defaultRowHeight="14.4" x14ac:dyDescent="0.3"/>
  <cols>
    <col min="1" max="1" width="4.33203125" customWidth="1"/>
    <col min="2" max="2" width="22.77734375" customWidth="1"/>
    <col min="3" max="3" width="13.88671875" bestFit="1" customWidth="1"/>
    <col min="4" max="4" width="17.77734375" bestFit="1" customWidth="1"/>
    <col min="5" max="5" width="13.88671875" bestFit="1" customWidth="1"/>
    <col min="6" max="6" width="40.77734375" customWidth="1"/>
  </cols>
  <sheetData>
    <row r="1" spans="2:9" x14ac:dyDescent="0.3">
      <c r="B1" s="5" t="s">
        <v>80</v>
      </c>
    </row>
    <row r="2" spans="2:9" x14ac:dyDescent="0.3">
      <c r="B2" s="2" t="s">
        <v>0</v>
      </c>
      <c r="C2" s="4" t="s">
        <v>82</v>
      </c>
      <c r="D2" s="4" t="s">
        <v>83</v>
      </c>
      <c r="E2" s="4" t="s">
        <v>29</v>
      </c>
      <c r="F2" s="4"/>
    </row>
    <row r="3" spans="2:9" x14ac:dyDescent="0.3">
      <c r="B3" t="s">
        <v>1</v>
      </c>
      <c r="C3" s="9">
        <f>+'Q4 2024 SCR'!D3</f>
        <v>332435.69831251726</v>
      </c>
      <c r="D3" s="9">
        <v>389180.18690243363</v>
      </c>
      <c r="E3" s="15">
        <f>+D3-C3</f>
        <v>56744.488589916378</v>
      </c>
      <c r="F3" s="16"/>
      <c r="G3" s="16"/>
      <c r="H3" s="16"/>
      <c r="I3" s="16"/>
    </row>
    <row r="4" spans="2:9" x14ac:dyDescent="0.3">
      <c r="B4" t="s">
        <v>2</v>
      </c>
      <c r="C4" s="9">
        <f>+'Q4 2024 SCR'!D4</f>
        <v>674028.17378337239</v>
      </c>
      <c r="D4" s="9">
        <v>674028.17378337239</v>
      </c>
      <c r="E4" s="15">
        <f t="shared" ref="E4:E9" si="0">+D4-C4</f>
        <v>0</v>
      </c>
      <c r="F4" s="16"/>
      <c r="G4" s="16"/>
      <c r="H4" s="16"/>
      <c r="I4" s="16"/>
    </row>
    <row r="5" spans="2:9" x14ac:dyDescent="0.3">
      <c r="B5" t="s">
        <v>3</v>
      </c>
      <c r="C5" s="9">
        <f>+'Q4 2024 SCR'!D5</f>
        <v>0</v>
      </c>
      <c r="D5" s="9">
        <v>0</v>
      </c>
      <c r="E5" s="15">
        <f t="shared" si="0"/>
        <v>0</v>
      </c>
      <c r="F5" s="16"/>
      <c r="G5" s="16"/>
      <c r="H5" s="16"/>
      <c r="I5" s="16"/>
    </row>
    <row r="6" spans="2:9" x14ac:dyDescent="0.3">
      <c r="B6" t="s">
        <v>4</v>
      </c>
      <c r="C6" s="9">
        <f>+'Q4 2024 SCR'!D6</f>
        <v>90491.784246567637</v>
      </c>
      <c r="D6" s="9">
        <v>90491.784246567637</v>
      </c>
      <c r="E6" s="15">
        <f t="shared" si="0"/>
        <v>0</v>
      </c>
      <c r="F6" s="16"/>
      <c r="G6" s="16"/>
      <c r="H6" s="16"/>
      <c r="I6" s="16"/>
    </row>
    <row r="7" spans="2:9" x14ac:dyDescent="0.3">
      <c r="B7" t="s">
        <v>5</v>
      </c>
      <c r="C7" s="9">
        <f>+'Q4 2024 SCR'!D7</f>
        <v>6582811.0733741131</v>
      </c>
      <c r="D7" s="9">
        <v>5109327.3786187125</v>
      </c>
      <c r="E7" s="15">
        <f t="shared" si="0"/>
        <v>-1473483.6947554005</v>
      </c>
      <c r="F7" s="16"/>
      <c r="G7" s="16"/>
      <c r="H7" s="16"/>
      <c r="I7" s="16"/>
    </row>
    <row r="8" spans="2:9" x14ac:dyDescent="0.3">
      <c r="B8" t="s">
        <v>6</v>
      </c>
      <c r="C8" s="9">
        <f>+'Q4 2024 SCR'!D8</f>
        <v>71959.886674235007</v>
      </c>
      <c r="D8" s="9">
        <v>6226215.0020712875</v>
      </c>
      <c r="E8" s="15">
        <f t="shared" si="0"/>
        <v>6154255.1153970528</v>
      </c>
      <c r="F8" s="16"/>
      <c r="G8" s="16"/>
      <c r="H8" s="16"/>
      <c r="I8" s="16"/>
    </row>
    <row r="9" spans="2:9" ht="16.2" x14ac:dyDescent="0.45">
      <c r="B9" s="6" t="s">
        <v>7</v>
      </c>
      <c r="C9" s="10">
        <f>+'Q4 2024 SCR'!D9</f>
        <v>6918653.5361755108</v>
      </c>
      <c r="D9" s="10">
        <v>6585249.809283155</v>
      </c>
      <c r="E9" s="17">
        <f t="shared" si="0"/>
        <v>-333403.72689235583</v>
      </c>
      <c r="F9" s="16"/>
      <c r="G9" s="16"/>
      <c r="H9" s="16"/>
      <c r="I9" s="16"/>
    </row>
    <row r="10" spans="2:9" x14ac:dyDescent="0.3">
      <c r="C10" s="9"/>
      <c r="D10" s="9"/>
      <c r="E10" s="15"/>
      <c r="F10" s="16"/>
      <c r="G10" s="16"/>
      <c r="H10" s="16"/>
      <c r="I10" s="16"/>
    </row>
    <row r="11" spans="2:9" x14ac:dyDescent="0.3">
      <c r="B11" s="2" t="s">
        <v>8</v>
      </c>
      <c r="C11" s="11" t="str">
        <f>+C2</f>
        <v>Q4 2024</v>
      </c>
      <c r="D11" s="11" t="str">
        <f>+D2</f>
        <v>Annual 2024</v>
      </c>
      <c r="E11" s="18" t="s">
        <v>29</v>
      </c>
      <c r="F11" s="19"/>
      <c r="G11" s="16"/>
      <c r="H11" s="16"/>
      <c r="I11" s="16"/>
    </row>
    <row r="12" spans="2:9" x14ac:dyDescent="0.3">
      <c r="B12" t="s">
        <v>9</v>
      </c>
      <c r="C12" s="9">
        <f>+'Q4 2024 SCR'!D12</f>
        <v>9664490.3788441643</v>
      </c>
      <c r="D12" s="9">
        <v>9814418.5440051649</v>
      </c>
      <c r="E12" s="15">
        <f t="shared" ref="E12:E14" si="1">+D12-C12</f>
        <v>149928.16516100056</v>
      </c>
      <c r="F12" s="16"/>
      <c r="G12" s="16"/>
      <c r="H12" s="16"/>
      <c r="I12" s="16"/>
    </row>
    <row r="13" spans="2:9" x14ac:dyDescent="0.3">
      <c r="B13" t="s">
        <v>10</v>
      </c>
      <c r="C13" s="9">
        <f>+'Q4 2024 SCR'!D13</f>
        <v>14136391.352348806</v>
      </c>
      <c r="D13" s="9">
        <v>14136391.352348806</v>
      </c>
      <c r="E13" s="15">
        <f t="shared" si="1"/>
        <v>0</v>
      </c>
      <c r="F13" s="25"/>
      <c r="G13" s="16"/>
      <c r="H13" s="16"/>
      <c r="I13" s="16"/>
    </row>
    <row r="14" spans="2:9" ht="16.2" x14ac:dyDescent="0.45">
      <c r="B14" s="6" t="s">
        <v>7</v>
      </c>
      <c r="C14" s="10">
        <f>+'Q4 2024 SCR'!D14</f>
        <v>22319754.973432384</v>
      </c>
      <c r="D14" s="10">
        <v>22455980.5836749</v>
      </c>
      <c r="E14" s="17">
        <f t="shared" si="1"/>
        <v>136225.6102425158</v>
      </c>
      <c r="F14" s="16"/>
      <c r="G14" s="16"/>
      <c r="H14" s="16"/>
      <c r="I14" s="16"/>
    </row>
    <row r="15" spans="2:9" x14ac:dyDescent="0.3">
      <c r="C15" s="1"/>
      <c r="D15" s="1"/>
      <c r="E15" s="20"/>
      <c r="F15" s="16"/>
      <c r="G15" s="16"/>
      <c r="H15" s="16"/>
      <c r="I15" s="16"/>
    </row>
    <row r="16" spans="2:9" x14ac:dyDescent="0.3">
      <c r="B16" s="2" t="s">
        <v>11</v>
      </c>
      <c r="C16" s="11" t="str">
        <f>+C11</f>
        <v>Q4 2024</v>
      </c>
      <c r="D16" s="11" t="str">
        <f>+D11</f>
        <v>Annual 2024</v>
      </c>
      <c r="E16" s="19" t="s">
        <v>29</v>
      </c>
      <c r="F16" s="19"/>
      <c r="G16" s="16"/>
      <c r="H16" s="16"/>
      <c r="I16" s="16"/>
    </row>
    <row r="17" spans="2:9" x14ac:dyDescent="0.3">
      <c r="B17" t="s">
        <v>12</v>
      </c>
      <c r="C17" s="9">
        <f>+'Q4 2024 SCR'!D17</f>
        <v>7299512.1784551796</v>
      </c>
      <c r="D17" s="9">
        <v>7541058.0411486011</v>
      </c>
      <c r="E17" s="15">
        <f t="shared" ref="E17:E20" si="2">+D17-C17</f>
        <v>241545.86269342154</v>
      </c>
      <c r="F17" s="16"/>
      <c r="G17" s="16"/>
      <c r="H17" s="16"/>
      <c r="I17" s="16"/>
    </row>
    <row r="18" spans="2:9" x14ac:dyDescent="0.3">
      <c r="B18" t="s">
        <v>13</v>
      </c>
      <c r="C18" s="9">
        <f>+'Q4 2024 SCR'!D18</f>
        <v>1800494.7580152883</v>
      </c>
      <c r="D18" s="9">
        <v>1800494.7580152883</v>
      </c>
      <c r="E18" s="15">
        <f t="shared" si="2"/>
        <v>0</v>
      </c>
      <c r="F18" s="16"/>
      <c r="G18" s="16"/>
      <c r="H18" s="16"/>
      <c r="I18" s="16"/>
    </row>
    <row r="19" spans="2:9" x14ac:dyDescent="0.3">
      <c r="B19" t="s">
        <v>14</v>
      </c>
      <c r="C19" s="9">
        <f>+'Q4 2024 SCR'!D19</f>
        <v>3578065.8996782294</v>
      </c>
      <c r="D19" s="9">
        <v>3715643.0716906157</v>
      </c>
      <c r="E19" s="15">
        <f t="shared" si="2"/>
        <v>137577.17201238638</v>
      </c>
      <c r="F19" s="16"/>
      <c r="G19" s="16"/>
      <c r="H19" s="16"/>
      <c r="I19" s="16"/>
    </row>
    <row r="20" spans="2:9" ht="16.2" x14ac:dyDescent="0.45">
      <c r="B20" s="6" t="s">
        <v>7</v>
      </c>
      <c r="C20" s="10">
        <f>+'Q4 2024 SCR'!D20</f>
        <v>9076688.9780637752</v>
      </c>
      <c r="D20" s="10">
        <v>9376848.1496567</v>
      </c>
      <c r="E20" s="17">
        <f t="shared" si="2"/>
        <v>300159.17159292474</v>
      </c>
      <c r="F20" s="16"/>
      <c r="G20" s="16"/>
      <c r="H20" s="16"/>
      <c r="I20" s="16"/>
    </row>
    <row r="21" spans="2:9" x14ac:dyDescent="0.3">
      <c r="C21" s="9"/>
      <c r="D21" s="9"/>
      <c r="E21" s="15"/>
      <c r="F21" s="16"/>
      <c r="G21" s="16"/>
      <c r="H21" s="16"/>
      <c r="I21" s="16"/>
    </row>
    <row r="22" spans="2:9" x14ac:dyDescent="0.3">
      <c r="B22" s="2" t="s">
        <v>15</v>
      </c>
      <c r="C22" s="11" t="str">
        <f>+C16</f>
        <v>Q4 2024</v>
      </c>
      <c r="D22" s="11" t="str">
        <f>+D16</f>
        <v>Annual 2024</v>
      </c>
      <c r="E22" s="18" t="s">
        <v>29</v>
      </c>
      <c r="F22" s="19"/>
      <c r="G22" s="16"/>
      <c r="H22" s="16"/>
      <c r="I22" s="16"/>
    </row>
    <row r="23" spans="2:9" x14ac:dyDescent="0.3">
      <c r="B23" t="s">
        <v>16</v>
      </c>
      <c r="C23" s="9">
        <f>+'Q4 2024 SCR'!D23</f>
        <v>277220.83889872581</v>
      </c>
      <c r="D23" s="9">
        <v>277220.83889872581</v>
      </c>
      <c r="E23" s="15">
        <f t="shared" ref="E23:E30" si="3">+D23-C23</f>
        <v>0</v>
      </c>
      <c r="F23" s="16"/>
      <c r="G23" s="16"/>
      <c r="H23" s="16"/>
      <c r="I23" s="16"/>
    </row>
    <row r="24" spans="2:9" x14ac:dyDescent="0.3">
      <c r="B24" t="s">
        <v>17</v>
      </c>
      <c r="C24" s="9">
        <f>+'Q4 2024 SCR'!D24</f>
        <v>0</v>
      </c>
      <c r="D24" s="9">
        <v>0</v>
      </c>
      <c r="E24" s="15">
        <f t="shared" si="3"/>
        <v>0</v>
      </c>
      <c r="F24" s="16"/>
      <c r="G24" s="16"/>
      <c r="H24" s="16"/>
      <c r="I24" s="16"/>
    </row>
    <row r="25" spans="2:9" x14ac:dyDescent="0.3">
      <c r="B25" t="s">
        <v>18</v>
      </c>
      <c r="C25" s="9">
        <f>+'Q4 2024 SCR'!D25</f>
        <v>154198.18121241778</v>
      </c>
      <c r="D25" s="9">
        <v>154198.18121241778</v>
      </c>
      <c r="E25" s="15">
        <f t="shared" si="3"/>
        <v>0</v>
      </c>
      <c r="F25" s="16"/>
      <c r="G25" s="16"/>
      <c r="H25" s="16"/>
      <c r="I25" s="16"/>
    </row>
    <row r="26" spans="2:9" x14ac:dyDescent="0.3">
      <c r="B26" t="s">
        <v>19</v>
      </c>
      <c r="C26" s="9">
        <f>+'Q4 2024 SCR'!D26</f>
        <v>887358.86070103943</v>
      </c>
      <c r="D26" s="9">
        <v>887358.86070103943</v>
      </c>
      <c r="E26" s="15">
        <f t="shared" si="3"/>
        <v>0</v>
      </c>
      <c r="F26" s="16"/>
      <c r="G26" s="16"/>
      <c r="H26" s="16"/>
      <c r="I26" s="16"/>
    </row>
    <row r="27" spans="2:9" x14ac:dyDescent="0.3">
      <c r="B27" t="s">
        <v>20</v>
      </c>
      <c r="C27" s="9">
        <f>+'Q4 2024 SCR'!D27</f>
        <v>10152.708359517157</v>
      </c>
      <c r="D27" s="9">
        <v>10152.708359517157</v>
      </c>
      <c r="E27" s="15">
        <f t="shared" si="3"/>
        <v>0</v>
      </c>
      <c r="F27" s="16"/>
      <c r="G27" s="16"/>
      <c r="H27" s="16"/>
      <c r="I27" s="16"/>
    </row>
    <row r="28" spans="2:9" x14ac:dyDescent="0.3">
      <c r="B28" t="s">
        <v>21</v>
      </c>
      <c r="C28" s="9">
        <f>+'Q4 2024 SCR'!D28</f>
        <v>0</v>
      </c>
      <c r="D28" s="9">
        <v>0</v>
      </c>
      <c r="E28" s="15">
        <f t="shared" si="3"/>
        <v>0</v>
      </c>
      <c r="F28" s="16"/>
      <c r="G28" s="16"/>
      <c r="H28" s="16"/>
      <c r="I28" s="16"/>
    </row>
    <row r="29" spans="2:9" x14ac:dyDescent="0.3">
      <c r="B29" t="s">
        <v>22</v>
      </c>
      <c r="C29" s="9">
        <f>+'Q4 2024 SCR'!D29</f>
        <v>2467164.2456025034</v>
      </c>
      <c r="D29" s="9">
        <v>2467164.2456025034</v>
      </c>
      <c r="E29" s="15">
        <f t="shared" si="3"/>
        <v>0</v>
      </c>
      <c r="F29" s="16"/>
      <c r="G29" s="16"/>
      <c r="H29" s="16"/>
      <c r="I29" s="16"/>
    </row>
    <row r="30" spans="2:9" ht="16.2" x14ac:dyDescent="0.45">
      <c r="B30" s="6" t="s">
        <v>7</v>
      </c>
      <c r="C30" s="10">
        <f>+'Q4 2024 SCR'!D30</f>
        <v>2940703.5043357764</v>
      </c>
      <c r="D30" s="10">
        <v>2940703.5043357764</v>
      </c>
      <c r="E30" s="17">
        <f t="shared" si="3"/>
        <v>0</v>
      </c>
      <c r="F30" s="16"/>
      <c r="G30" s="16"/>
      <c r="H30" s="16"/>
      <c r="I30" s="16"/>
    </row>
    <row r="31" spans="2:9" x14ac:dyDescent="0.3">
      <c r="C31" s="9"/>
      <c r="D31" s="9"/>
      <c r="E31" s="15"/>
      <c r="F31" s="16"/>
      <c r="G31" s="16"/>
      <c r="H31" s="16"/>
      <c r="I31" s="16"/>
    </row>
    <row r="32" spans="2:9" x14ac:dyDescent="0.3">
      <c r="B32" s="2" t="s">
        <v>23</v>
      </c>
      <c r="C32" s="11" t="str">
        <f>+C22</f>
        <v>Q4 2024</v>
      </c>
      <c r="D32" s="11" t="str">
        <f>+D22</f>
        <v>Annual 2024</v>
      </c>
      <c r="E32" s="18" t="s">
        <v>29</v>
      </c>
      <c r="F32" s="19"/>
      <c r="G32" s="16"/>
      <c r="H32" s="16"/>
      <c r="I32" s="16"/>
    </row>
    <row r="33" spans="2:9" x14ac:dyDescent="0.3">
      <c r="B33" t="s">
        <v>12</v>
      </c>
      <c r="C33" s="9">
        <f>+'Q4 2024 SCR'!D33</f>
        <v>299.43900469352235</v>
      </c>
      <c r="D33" s="9">
        <v>299.43900469352235</v>
      </c>
      <c r="E33" s="15">
        <f t="shared" ref="E33:E35" si="4">+D33-C33</f>
        <v>0</v>
      </c>
      <c r="F33" s="16"/>
      <c r="G33" s="16"/>
      <c r="H33" s="16"/>
      <c r="I33" s="16"/>
    </row>
    <row r="34" spans="2:9" x14ac:dyDescent="0.3">
      <c r="B34" t="s">
        <v>14</v>
      </c>
      <c r="C34" s="9">
        <f>+'Q4 2024 SCR'!D34</f>
        <v>220142.56033319543</v>
      </c>
      <c r="D34" s="9">
        <v>220142.56033319543</v>
      </c>
      <c r="E34" s="15">
        <f t="shared" si="4"/>
        <v>0</v>
      </c>
      <c r="F34" s="16"/>
      <c r="G34" s="16"/>
      <c r="H34" s="16"/>
      <c r="I34" s="16"/>
    </row>
    <row r="35" spans="2:9" ht="16.2" x14ac:dyDescent="0.45">
      <c r="B35" s="6" t="s">
        <v>7</v>
      </c>
      <c r="C35" s="10">
        <f>+'Q4 2024 SCR'!D35</f>
        <v>220217.61094052071</v>
      </c>
      <c r="D35" s="10">
        <v>220217.61094052071</v>
      </c>
      <c r="E35" s="17">
        <f t="shared" si="4"/>
        <v>0</v>
      </c>
      <c r="F35" s="16"/>
      <c r="G35" s="16"/>
      <c r="H35" s="16"/>
      <c r="I35" s="16"/>
    </row>
    <row r="36" spans="2:9" x14ac:dyDescent="0.3">
      <c r="B36" s="3"/>
      <c r="C36" s="9"/>
      <c r="D36" s="9"/>
      <c r="E36" s="15"/>
      <c r="F36" s="16"/>
      <c r="G36" s="16"/>
      <c r="H36" s="16"/>
      <c r="I36" s="16"/>
    </row>
    <row r="37" spans="2:9" x14ac:dyDescent="0.3">
      <c r="B37" s="3"/>
      <c r="C37" s="9"/>
      <c r="D37" s="9"/>
      <c r="E37" s="15"/>
      <c r="F37" s="16"/>
      <c r="G37" s="16"/>
      <c r="H37" s="16"/>
      <c r="I37" s="16"/>
    </row>
    <row r="38" spans="2:9" x14ac:dyDescent="0.3">
      <c r="C38" s="12"/>
      <c r="D38" s="12"/>
      <c r="E38" s="21"/>
      <c r="F38" s="16"/>
      <c r="G38" s="16"/>
      <c r="H38" s="16"/>
      <c r="I38" s="16"/>
    </row>
    <row r="39" spans="2:9" x14ac:dyDescent="0.3">
      <c r="B39" s="5" t="s">
        <v>79</v>
      </c>
      <c r="C39" s="12"/>
      <c r="D39" s="12"/>
      <c r="E39" s="21"/>
      <c r="F39" s="16"/>
      <c r="G39" s="16"/>
      <c r="H39" s="16"/>
      <c r="I39" s="16"/>
    </row>
    <row r="40" spans="2:9" x14ac:dyDescent="0.3">
      <c r="B40" s="4" t="s">
        <v>24</v>
      </c>
      <c r="C40" s="11" t="str">
        <f>+C32</f>
        <v>Q4 2024</v>
      </c>
      <c r="D40" s="11" t="str">
        <f>+D32</f>
        <v>Annual 2024</v>
      </c>
      <c r="E40" s="18" t="s">
        <v>29</v>
      </c>
      <c r="F40" s="19"/>
      <c r="G40" s="16"/>
      <c r="H40" s="16"/>
      <c r="I40" s="16"/>
    </row>
    <row r="41" spans="2:9" x14ac:dyDescent="0.3">
      <c r="B41" t="s">
        <v>32</v>
      </c>
      <c r="C41" s="12">
        <f>+'Q4 2024 SCR'!D41</f>
        <v>6918653.5361755108</v>
      </c>
      <c r="D41" s="12">
        <v>6585249.809283155</v>
      </c>
      <c r="E41" s="21">
        <f t="shared" ref="E41:E46" si="5">+D41-C41</f>
        <v>-333403.72689235583</v>
      </c>
      <c r="F41" s="16"/>
      <c r="G41" s="16"/>
      <c r="H41" s="16"/>
      <c r="I41" s="16"/>
    </row>
    <row r="42" spans="2:9" x14ac:dyDescent="0.3">
      <c r="B42" t="s">
        <v>33</v>
      </c>
      <c r="C42" s="12">
        <f>+'Q4 2024 SCR'!D42</f>
        <v>22319754.973432388</v>
      </c>
      <c r="D42" s="12">
        <v>22455980.5836749</v>
      </c>
      <c r="E42" s="21">
        <f t="shared" si="5"/>
        <v>136225.61024251208</v>
      </c>
      <c r="F42" s="16"/>
      <c r="G42" s="16"/>
      <c r="H42" s="16"/>
      <c r="I42" s="16"/>
    </row>
    <row r="43" spans="2:9" x14ac:dyDescent="0.3">
      <c r="B43" t="s">
        <v>34</v>
      </c>
      <c r="C43" s="12">
        <f>+'Q4 2024 SCR'!D43</f>
        <v>2940703.5043357764</v>
      </c>
      <c r="D43" s="12">
        <v>2940703.5043357764</v>
      </c>
      <c r="E43" s="21">
        <f t="shared" si="5"/>
        <v>0</v>
      </c>
      <c r="F43" s="16"/>
      <c r="G43" s="16"/>
      <c r="H43" s="16"/>
      <c r="I43" s="16"/>
    </row>
    <row r="44" spans="2:9" x14ac:dyDescent="0.3">
      <c r="B44" t="s">
        <v>35</v>
      </c>
      <c r="C44" s="12">
        <f>+'Q4 2024 SCR'!D44</f>
        <v>220217.61094052071</v>
      </c>
      <c r="D44" s="12">
        <v>220217.61094052071</v>
      </c>
      <c r="E44" s="21">
        <f t="shared" si="5"/>
        <v>0</v>
      </c>
      <c r="F44" s="16"/>
      <c r="G44" s="16"/>
      <c r="H44" s="16"/>
      <c r="I44" s="16"/>
    </row>
    <row r="45" spans="2:9" x14ac:dyDescent="0.3">
      <c r="B45" t="s">
        <v>36</v>
      </c>
      <c r="C45" s="12">
        <f>+'Q4 2024 SCR'!D45</f>
        <v>9076688.9780637752</v>
      </c>
      <c r="D45" s="12">
        <v>9376848.1496567</v>
      </c>
      <c r="E45" s="21">
        <f t="shared" si="5"/>
        <v>300159.17159292474</v>
      </c>
      <c r="F45" s="16"/>
      <c r="G45" s="16"/>
      <c r="H45" s="16"/>
      <c r="I45" s="16"/>
    </row>
    <row r="46" spans="2:9" ht="16.2" x14ac:dyDescent="0.45">
      <c r="B46" s="6" t="s">
        <v>38</v>
      </c>
      <c r="C46" s="13">
        <f>+'Q4 2024 SCR'!D46</f>
        <v>31541333.615448888</v>
      </c>
      <c r="D46" s="13">
        <v>31715300.634427581</v>
      </c>
      <c r="E46" s="22">
        <f t="shared" si="5"/>
        <v>173967.01897869259</v>
      </c>
      <c r="F46" s="16"/>
      <c r="G46" s="16"/>
      <c r="H46" s="16"/>
      <c r="I46" s="16"/>
    </row>
    <row r="47" spans="2:9" x14ac:dyDescent="0.3">
      <c r="C47" s="12"/>
      <c r="D47" s="12"/>
      <c r="E47" s="21"/>
      <c r="F47" s="16"/>
      <c r="G47" s="16"/>
      <c r="H47" s="16"/>
      <c r="I47" s="16"/>
    </row>
    <row r="48" spans="2:9" x14ac:dyDescent="0.3">
      <c r="C48" s="12"/>
      <c r="D48" s="12"/>
      <c r="E48" s="21"/>
      <c r="F48" s="16"/>
      <c r="G48" s="16"/>
      <c r="H48" s="16"/>
      <c r="I48" s="16"/>
    </row>
    <row r="49" spans="2:9" x14ac:dyDescent="0.3">
      <c r="B49" t="s">
        <v>25</v>
      </c>
      <c r="C49" s="9">
        <f>+'Q4 2024 SCR'!D49</f>
        <v>8923159.1101645045</v>
      </c>
      <c r="D49" s="9">
        <v>8923159.1101645045</v>
      </c>
      <c r="E49" s="15">
        <f t="shared" ref="E49:E51" si="6">+D49-C49</f>
        <v>0</v>
      </c>
      <c r="F49" s="16"/>
      <c r="G49" s="16"/>
      <c r="H49" s="16"/>
      <c r="I49" s="16"/>
    </row>
    <row r="50" spans="2:9" x14ac:dyDescent="0.3">
      <c r="B50" t="s">
        <v>26</v>
      </c>
      <c r="C50" s="9">
        <f>+'Q4 2024 SCR'!D50</f>
        <v>-9166688.3541533463</v>
      </c>
      <c r="D50" s="9">
        <v>-9042430.5150075462</v>
      </c>
      <c r="E50" s="15">
        <f t="shared" si="6"/>
        <v>124257.8391458001</v>
      </c>
      <c r="F50" s="16"/>
      <c r="G50" s="16"/>
      <c r="H50" s="16"/>
      <c r="I50" s="16"/>
    </row>
    <row r="51" spans="2:9" x14ac:dyDescent="0.3">
      <c r="B51" s="6" t="s">
        <v>27</v>
      </c>
      <c r="C51" s="14">
        <f>+'Q4 2024 SCR'!D51</f>
        <v>31297804.371460047</v>
      </c>
      <c r="D51" s="14">
        <f>+D46+D49+D50</f>
        <v>31596029.229584537</v>
      </c>
      <c r="E51" s="23">
        <f t="shared" si="6"/>
        <v>298224.85812449083</v>
      </c>
      <c r="F51" s="16"/>
      <c r="G51" s="16"/>
      <c r="H51" s="16"/>
      <c r="I51" s="16"/>
    </row>
    <row r="52" spans="2:9" x14ac:dyDescent="0.3">
      <c r="C52" s="9"/>
      <c r="D52" s="9"/>
      <c r="E52" s="15"/>
      <c r="F52" s="16"/>
      <c r="G52" s="16"/>
      <c r="H52" s="16"/>
      <c r="I52" s="16"/>
    </row>
    <row r="53" spans="2:9" x14ac:dyDescent="0.3">
      <c r="B53" t="s">
        <v>31</v>
      </c>
      <c r="C53" s="9">
        <f>+'Q4 2024 SCR'!D53</f>
        <v>56816339.238130927</v>
      </c>
      <c r="D53" s="9">
        <v>56442369.847595096</v>
      </c>
      <c r="E53" s="15">
        <f>+D53-C53</f>
        <v>-373969.39053583145</v>
      </c>
      <c r="F53" s="16"/>
      <c r="G53" s="16"/>
      <c r="H53" s="16"/>
      <c r="I53" s="16"/>
    </row>
    <row r="54" spans="2:9" x14ac:dyDescent="0.3">
      <c r="E54" s="16"/>
      <c r="F54" s="16"/>
      <c r="G54" s="16"/>
      <c r="H54" s="16"/>
      <c r="I54" s="16"/>
    </row>
    <row r="55" spans="2:9" x14ac:dyDescent="0.3">
      <c r="B55" s="7" t="s">
        <v>37</v>
      </c>
      <c r="C55" s="8">
        <f>+C53/C51</f>
        <v>1.8153458486672891</v>
      </c>
      <c r="D55" s="8">
        <f>+D53/D51</f>
        <v>1.7863754156407099</v>
      </c>
      <c r="E55" s="31">
        <f>+D55-C55</f>
        <v>-2.8970433026579201E-2</v>
      </c>
      <c r="F55" s="16"/>
      <c r="G55" s="16"/>
      <c r="H55" s="16"/>
      <c r="I55" s="16"/>
    </row>
    <row r="56" spans="2:9" x14ac:dyDescent="0.3">
      <c r="E56" s="16"/>
      <c r="F56" s="16"/>
      <c r="G56" s="16"/>
      <c r="H56" s="16"/>
      <c r="I56" s="16"/>
    </row>
    <row r="58" spans="2:9" x14ac:dyDescent="0.3">
      <c r="D58" s="26"/>
    </row>
    <row r="59" spans="2:9" x14ac:dyDescent="0.3">
      <c r="D59" s="26"/>
    </row>
    <row r="60" spans="2:9" x14ac:dyDescent="0.3">
      <c r="D60" s="27"/>
    </row>
    <row r="64" spans="2:9" x14ac:dyDescent="0.3">
      <c r="B64" s="4" t="s">
        <v>89</v>
      </c>
      <c r="C64" s="11">
        <f>+C51</f>
        <v>31297804.371460047</v>
      </c>
    </row>
    <row r="65" spans="2:3" x14ac:dyDescent="0.3">
      <c r="B65" t="s">
        <v>40</v>
      </c>
      <c r="C65" s="12">
        <f>+E41</f>
        <v>-333403.72689235583</v>
      </c>
    </row>
    <row r="66" spans="2:3" x14ac:dyDescent="0.3">
      <c r="B66" t="s">
        <v>41</v>
      </c>
      <c r="C66" s="12">
        <f t="shared" ref="C66:C69" si="7">+E42</f>
        <v>136225.61024251208</v>
      </c>
    </row>
    <row r="67" spans="2:3" x14ac:dyDescent="0.3">
      <c r="B67" t="s">
        <v>42</v>
      </c>
      <c r="C67" s="12">
        <f t="shared" si="7"/>
        <v>0</v>
      </c>
    </row>
    <row r="68" spans="2:3" x14ac:dyDescent="0.3">
      <c r="B68" t="s">
        <v>43</v>
      </c>
      <c r="C68" s="12">
        <f t="shared" si="7"/>
        <v>0</v>
      </c>
    </row>
    <row r="69" spans="2:3" x14ac:dyDescent="0.3">
      <c r="B69" t="s">
        <v>44</v>
      </c>
      <c r="C69" s="12">
        <f t="shared" si="7"/>
        <v>300159.17159292474</v>
      </c>
    </row>
    <row r="70" spans="2:3" x14ac:dyDescent="0.3">
      <c r="B70" t="s">
        <v>45</v>
      </c>
      <c r="C70" s="12">
        <f>-SUM(E41:E45)+E46</f>
        <v>70985.9640356116</v>
      </c>
    </row>
    <row r="71" spans="2:3" x14ac:dyDescent="0.3">
      <c r="B71" t="s">
        <v>46</v>
      </c>
      <c r="C71" s="12">
        <f>+E49</f>
        <v>0</v>
      </c>
    </row>
    <row r="72" spans="2:3" x14ac:dyDescent="0.3">
      <c r="B72" t="s">
        <v>47</v>
      </c>
      <c r="C72" s="12">
        <f>+E50</f>
        <v>124257.8391458001</v>
      </c>
    </row>
    <row r="73" spans="2:3" x14ac:dyDescent="0.3">
      <c r="B73" s="4" t="s">
        <v>88</v>
      </c>
      <c r="C73" s="11">
        <f>+SUM(C64:C72)</f>
        <v>31596029.229584537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834D-758A-4AEE-A209-D806EB9693FE}">
  <dimension ref="B1:I73"/>
  <sheetViews>
    <sheetView showGridLines="0" topLeftCell="A45" workbookViewId="0">
      <selection activeCell="D20" sqref="D20"/>
    </sheetView>
  </sheetViews>
  <sheetFormatPr defaultRowHeight="14.4" x14ac:dyDescent="0.3"/>
  <cols>
    <col min="1" max="1" width="4.33203125" customWidth="1"/>
    <col min="2" max="2" width="22.77734375" customWidth="1"/>
    <col min="3" max="3" width="13.88671875" bestFit="1" customWidth="1"/>
    <col min="4" max="4" width="17.77734375" bestFit="1" customWidth="1"/>
    <col min="5" max="5" width="13.88671875" bestFit="1" customWidth="1"/>
    <col min="6" max="6" width="40.77734375" customWidth="1"/>
  </cols>
  <sheetData>
    <row r="1" spans="2:9" x14ac:dyDescent="0.3">
      <c r="B1" s="5" t="s">
        <v>80</v>
      </c>
    </row>
    <row r="2" spans="2:9" x14ac:dyDescent="0.3">
      <c r="B2" s="2" t="s">
        <v>0</v>
      </c>
      <c r="C2" s="4" t="s">
        <v>83</v>
      </c>
      <c r="D2" s="4" t="s">
        <v>28</v>
      </c>
      <c r="E2" s="4" t="s">
        <v>29</v>
      </c>
      <c r="F2" s="4"/>
    </row>
    <row r="3" spans="2:9" x14ac:dyDescent="0.3">
      <c r="B3" t="s">
        <v>1</v>
      </c>
      <c r="C3" s="9">
        <f>+'Annual 2024 SCR'!D3</f>
        <v>389180.18690243363</v>
      </c>
      <c r="D3" s="9">
        <v>137109.71992589533</v>
      </c>
      <c r="E3" s="15">
        <f>+D3-C3</f>
        <v>-252070.4669765383</v>
      </c>
      <c r="F3" s="16"/>
      <c r="G3" s="16"/>
      <c r="H3" s="16"/>
      <c r="I3" s="16"/>
    </row>
    <row r="4" spans="2:9" x14ac:dyDescent="0.3">
      <c r="B4" t="s">
        <v>2</v>
      </c>
      <c r="C4" s="9">
        <f>+'Annual 2024 SCR'!D4</f>
        <v>674028.17378337239</v>
      </c>
      <c r="D4" s="9">
        <v>607987.06564361218</v>
      </c>
      <c r="E4" s="15">
        <f t="shared" ref="E4:E9" si="0">+D4-C4</f>
        <v>-66041.10813976021</v>
      </c>
      <c r="F4" s="16"/>
      <c r="G4" s="16"/>
      <c r="H4" s="16"/>
      <c r="I4" s="16"/>
    </row>
    <row r="5" spans="2:9" x14ac:dyDescent="0.3">
      <c r="B5" t="s">
        <v>3</v>
      </c>
      <c r="C5" s="9">
        <f>+'Annual 2024 SCR'!D5</f>
        <v>0</v>
      </c>
      <c r="D5" s="9">
        <v>0</v>
      </c>
      <c r="E5" s="15">
        <f t="shared" si="0"/>
        <v>0</v>
      </c>
      <c r="F5" s="16"/>
      <c r="G5" s="16"/>
      <c r="H5" s="16"/>
      <c r="I5" s="16"/>
    </row>
    <row r="6" spans="2:9" x14ac:dyDescent="0.3">
      <c r="B6" t="s">
        <v>4</v>
      </c>
      <c r="C6" s="9">
        <f>+'Annual 2024 SCR'!D6</f>
        <v>90491.784246567637</v>
      </c>
      <c r="D6" s="9">
        <v>155104.27363013104</v>
      </c>
      <c r="E6" s="15">
        <f t="shared" si="0"/>
        <v>64612.489383563399</v>
      </c>
      <c r="F6" s="16"/>
      <c r="G6" s="16"/>
      <c r="H6" s="16"/>
      <c r="I6" s="16"/>
    </row>
    <row r="7" spans="2:9" x14ac:dyDescent="0.3">
      <c r="B7" t="s">
        <v>5</v>
      </c>
      <c r="C7" s="9">
        <f>+'Annual 2024 SCR'!D7</f>
        <v>5109327.3786187125</v>
      </c>
      <c r="D7" s="9">
        <v>8149864.280395099</v>
      </c>
      <c r="E7" s="15">
        <f t="shared" si="0"/>
        <v>3040536.9017763864</v>
      </c>
      <c r="F7" s="16"/>
      <c r="G7" s="16"/>
      <c r="H7" s="16"/>
      <c r="I7" s="16"/>
    </row>
    <row r="8" spans="2:9" x14ac:dyDescent="0.3">
      <c r="B8" t="s">
        <v>6</v>
      </c>
      <c r="C8" s="9">
        <f>+'Annual 2024 SCR'!D8</f>
        <v>6226215.0020712875</v>
      </c>
      <c r="D8" s="9">
        <v>401094.30457591877</v>
      </c>
      <c r="E8" s="15">
        <f t="shared" si="0"/>
        <v>-5825120.6974953683</v>
      </c>
      <c r="F8" s="16"/>
      <c r="G8" s="16"/>
      <c r="H8" s="16"/>
      <c r="I8" s="16"/>
    </row>
    <row r="9" spans="2:9" ht="16.2" x14ac:dyDescent="0.45">
      <c r="B9" s="6" t="s">
        <v>7</v>
      </c>
      <c r="C9" s="10">
        <f>+'Annual 2024 SCR'!D9</f>
        <v>6585249.809283155</v>
      </c>
      <c r="D9" s="10">
        <v>8420689.2039712258</v>
      </c>
      <c r="E9" s="17">
        <f t="shared" si="0"/>
        <v>1835439.3946880708</v>
      </c>
      <c r="F9" s="16"/>
      <c r="G9" s="16"/>
      <c r="H9" s="16"/>
      <c r="I9" s="16"/>
    </row>
    <row r="10" spans="2:9" x14ac:dyDescent="0.3">
      <c r="C10" s="9"/>
      <c r="D10" s="9"/>
      <c r="E10" s="15"/>
      <c r="F10" s="16"/>
      <c r="G10" s="16"/>
      <c r="H10" s="16"/>
      <c r="I10" s="16"/>
    </row>
    <row r="11" spans="2:9" x14ac:dyDescent="0.3">
      <c r="B11" s="2" t="s">
        <v>8</v>
      </c>
      <c r="C11" s="11" t="str">
        <f>+C2</f>
        <v>Annual 2024</v>
      </c>
      <c r="D11" s="11" t="str">
        <f>+D2</f>
        <v>Q1 2025</v>
      </c>
      <c r="E11" s="18" t="s">
        <v>29</v>
      </c>
      <c r="F11" s="19"/>
      <c r="G11" s="16"/>
      <c r="H11" s="16"/>
      <c r="I11" s="16"/>
    </row>
    <row r="12" spans="2:9" x14ac:dyDescent="0.3">
      <c r="B12" t="s">
        <v>9</v>
      </c>
      <c r="C12" s="9">
        <f>+'Annual 2024 SCR'!D12</f>
        <v>9814418.5440051649</v>
      </c>
      <c r="D12" s="9">
        <v>9239694.0435061995</v>
      </c>
      <c r="E12" s="15">
        <f t="shared" ref="E12:E14" si="1">+D12-C12</f>
        <v>-574724.50049896538</v>
      </c>
      <c r="F12" s="16"/>
      <c r="G12" s="16"/>
      <c r="H12" s="16"/>
      <c r="I12" s="16"/>
    </row>
    <row r="13" spans="2:9" x14ac:dyDescent="0.3">
      <c r="B13" t="s">
        <v>10</v>
      </c>
      <c r="C13" s="9">
        <f>+'Annual 2024 SCR'!D13</f>
        <v>14136391.352348806</v>
      </c>
      <c r="D13" s="9">
        <v>12660603.880954307</v>
      </c>
      <c r="E13" s="15">
        <f t="shared" si="1"/>
        <v>-1475787.4713944998</v>
      </c>
      <c r="F13" s="25"/>
      <c r="G13" s="16"/>
      <c r="H13" s="16"/>
      <c r="I13" s="16"/>
    </row>
    <row r="14" spans="2:9" ht="16.2" x14ac:dyDescent="0.45">
      <c r="B14" s="6" t="s">
        <v>7</v>
      </c>
      <c r="C14" s="10">
        <f>+'Annual 2024 SCR'!D14</f>
        <v>22455980.5836749</v>
      </c>
      <c r="D14" s="10">
        <v>20521525.18813128</v>
      </c>
      <c r="E14" s="17">
        <f t="shared" si="1"/>
        <v>-1934455.39554362</v>
      </c>
      <c r="F14" s="16"/>
      <c r="G14" s="16"/>
      <c r="H14" s="16"/>
      <c r="I14" s="16"/>
    </row>
    <row r="15" spans="2:9" x14ac:dyDescent="0.3">
      <c r="C15" s="1"/>
      <c r="D15" s="1"/>
      <c r="E15" s="20"/>
      <c r="F15" s="16"/>
      <c r="G15" s="16"/>
      <c r="H15" s="16"/>
      <c r="I15" s="16"/>
    </row>
    <row r="16" spans="2:9" x14ac:dyDescent="0.3">
      <c r="B16" s="2" t="s">
        <v>11</v>
      </c>
      <c r="C16" s="11" t="str">
        <f>+C11</f>
        <v>Annual 2024</v>
      </c>
      <c r="D16" s="11" t="str">
        <f>+D11</f>
        <v>Q1 2025</v>
      </c>
      <c r="E16" s="19" t="s">
        <v>29</v>
      </c>
      <c r="F16" s="19"/>
      <c r="G16" s="16"/>
      <c r="H16" s="16"/>
      <c r="I16" s="16"/>
    </row>
    <row r="17" spans="2:9" x14ac:dyDescent="0.3">
      <c r="B17" t="s">
        <v>12</v>
      </c>
      <c r="C17" s="9">
        <f>+'Annual 2024 SCR'!D17</f>
        <v>7541058.0411486011</v>
      </c>
      <c r="D17" s="9">
        <v>7226409.3425536472</v>
      </c>
      <c r="E17" s="15">
        <f t="shared" ref="E17:E20" si="2">+D17-C17</f>
        <v>-314648.69859495386</v>
      </c>
      <c r="F17" s="16"/>
      <c r="G17" s="16"/>
      <c r="H17" s="16"/>
      <c r="I17" s="16"/>
    </row>
    <row r="18" spans="2:9" x14ac:dyDescent="0.3">
      <c r="B18" t="s">
        <v>13</v>
      </c>
      <c r="C18" s="9">
        <f>+'Annual 2024 SCR'!D18</f>
        <v>1800494.7580152883</v>
      </c>
      <c r="D18" s="9">
        <v>1236842.4651241908</v>
      </c>
      <c r="E18" s="15">
        <f t="shared" si="2"/>
        <v>-563652.29289109749</v>
      </c>
      <c r="F18" s="16"/>
      <c r="G18" s="16"/>
      <c r="H18" s="16"/>
      <c r="I18" s="16"/>
    </row>
    <row r="19" spans="2:9" x14ac:dyDescent="0.3">
      <c r="B19" t="s">
        <v>14</v>
      </c>
      <c r="C19" s="9">
        <f>+'Annual 2024 SCR'!D19</f>
        <v>3715643.0716906157</v>
      </c>
      <c r="D19" s="9">
        <v>3642868.534853247</v>
      </c>
      <c r="E19" s="15">
        <f t="shared" si="2"/>
        <v>-72774.536837368738</v>
      </c>
      <c r="F19" s="16"/>
      <c r="G19" s="16"/>
      <c r="H19" s="16"/>
      <c r="I19" s="16"/>
    </row>
    <row r="20" spans="2:9" ht="16.2" x14ac:dyDescent="0.45">
      <c r="B20" s="6" t="s">
        <v>7</v>
      </c>
      <c r="C20" s="10">
        <f>+'Annual 2024 SCR'!D20</f>
        <v>9376848.1496567</v>
      </c>
      <c r="D20" s="10">
        <v>8954534.7192851994</v>
      </c>
      <c r="E20" s="17">
        <f t="shared" si="2"/>
        <v>-422313.43037150055</v>
      </c>
      <c r="F20" s="16"/>
      <c r="G20" s="16"/>
      <c r="H20" s="16"/>
      <c r="I20" s="16"/>
    </row>
    <row r="21" spans="2:9" x14ac:dyDescent="0.3">
      <c r="C21" s="9"/>
      <c r="D21" s="9"/>
      <c r="E21" s="15"/>
      <c r="F21" s="16"/>
      <c r="G21" s="16"/>
      <c r="H21" s="16"/>
      <c r="I21" s="16"/>
    </row>
    <row r="22" spans="2:9" x14ac:dyDescent="0.3">
      <c r="B22" s="2" t="s">
        <v>15</v>
      </c>
      <c r="C22" s="11" t="str">
        <f>+C16</f>
        <v>Annual 2024</v>
      </c>
      <c r="D22" s="11" t="str">
        <f>+D16</f>
        <v>Q1 2025</v>
      </c>
      <c r="E22" s="18" t="s">
        <v>29</v>
      </c>
      <c r="F22" s="19"/>
      <c r="G22" s="16"/>
      <c r="H22" s="16"/>
      <c r="I22" s="16"/>
    </row>
    <row r="23" spans="2:9" x14ac:dyDescent="0.3">
      <c r="B23" t="s">
        <v>16</v>
      </c>
      <c r="C23" s="9">
        <f>+'Annual 2024 SCR'!D23</f>
        <v>277220.83889872581</v>
      </c>
      <c r="D23" s="9">
        <v>467081.65673999861</v>
      </c>
      <c r="E23" s="15">
        <f t="shared" ref="E23:E30" si="3">+D23-C23</f>
        <v>189860.8178412728</v>
      </c>
      <c r="F23" s="16"/>
      <c r="G23" s="16"/>
      <c r="H23" s="16"/>
      <c r="I23" s="16"/>
    </row>
    <row r="24" spans="2:9" x14ac:dyDescent="0.3">
      <c r="B24" t="s">
        <v>17</v>
      </c>
      <c r="C24" s="9">
        <f>+'Annual 2024 SCR'!D24</f>
        <v>0</v>
      </c>
      <c r="D24" s="9">
        <v>0</v>
      </c>
      <c r="E24" s="15">
        <f t="shared" si="3"/>
        <v>0</v>
      </c>
      <c r="F24" s="16"/>
      <c r="G24" s="16"/>
      <c r="H24" s="16"/>
      <c r="I24" s="16"/>
    </row>
    <row r="25" spans="2:9" x14ac:dyDescent="0.3">
      <c r="B25" t="s">
        <v>18</v>
      </c>
      <c r="C25" s="9">
        <f>+'Annual 2024 SCR'!D25</f>
        <v>154198.18121241778</v>
      </c>
      <c r="D25" s="9">
        <v>71965.084902014583</v>
      </c>
      <c r="E25" s="15">
        <f t="shared" si="3"/>
        <v>-82233.096310403198</v>
      </c>
      <c r="F25" s="16"/>
      <c r="G25" s="16"/>
      <c r="H25" s="16"/>
      <c r="I25" s="16"/>
    </row>
    <row r="26" spans="2:9" x14ac:dyDescent="0.3">
      <c r="B26" t="s">
        <v>19</v>
      </c>
      <c r="C26" s="9">
        <f>+'Annual 2024 SCR'!D26</f>
        <v>887358.86070103943</v>
      </c>
      <c r="D26" s="9">
        <v>1975976.4831107967</v>
      </c>
      <c r="E26" s="15">
        <f t="shared" si="3"/>
        <v>1088617.6224097572</v>
      </c>
      <c r="F26" s="16"/>
      <c r="G26" s="16"/>
      <c r="H26" s="16"/>
      <c r="I26" s="16"/>
    </row>
    <row r="27" spans="2:9" x14ac:dyDescent="0.3">
      <c r="B27" t="s">
        <v>20</v>
      </c>
      <c r="C27" s="9">
        <f>+'Annual 2024 SCR'!D27</f>
        <v>10152.708359517157</v>
      </c>
      <c r="D27" s="9">
        <v>11792.473314337432</v>
      </c>
      <c r="E27" s="15">
        <f t="shared" si="3"/>
        <v>1639.7649548202753</v>
      </c>
      <c r="F27" s="16"/>
      <c r="G27" s="16"/>
      <c r="H27" s="16"/>
      <c r="I27" s="16"/>
    </row>
    <row r="28" spans="2:9" x14ac:dyDescent="0.3">
      <c r="B28" t="s">
        <v>21</v>
      </c>
      <c r="C28" s="9">
        <f>+'Annual 2024 SCR'!D28</f>
        <v>0</v>
      </c>
      <c r="D28" s="9">
        <v>0</v>
      </c>
      <c r="E28" s="15">
        <f t="shared" si="3"/>
        <v>0</v>
      </c>
      <c r="F28" s="16"/>
      <c r="G28" s="16"/>
      <c r="H28" s="16"/>
      <c r="I28" s="16"/>
    </row>
    <row r="29" spans="2:9" x14ac:dyDescent="0.3">
      <c r="B29" t="s">
        <v>22</v>
      </c>
      <c r="C29" s="9">
        <f>+'Annual 2024 SCR'!D29</f>
        <v>2467164.2456025034</v>
      </c>
      <c r="D29" s="9">
        <v>3204977.1470984966</v>
      </c>
      <c r="E29" s="15">
        <f t="shared" si="3"/>
        <v>737812.90149599314</v>
      </c>
      <c r="F29" s="16"/>
      <c r="G29" s="16"/>
      <c r="H29" s="16"/>
      <c r="I29" s="16"/>
    </row>
    <row r="30" spans="2:9" ht="16.2" x14ac:dyDescent="0.45">
      <c r="B30" s="6" t="s">
        <v>7</v>
      </c>
      <c r="C30" s="10">
        <f>+'Annual 2024 SCR'!D30</f>
        <v>2940703.5043357764</v>
      </c>
      <c r="D30" s="10">
        <v>4300319.6712106196</v>
      </c>
      <c r="E30" s="17">
        <f t="shared" si="3"/>
        <v>1359616.1668748432</v>
      </c>
      <c r="F30" s="16"/>
      <c r="G30" s="16"/>
      <c r="H30" s="16"/>
      <c r="I30" s="16"/>
    </row>
    <row r="31" spans="2:9" x14ac:dyDescent="0.3">
      <c r="C31" s="9"/>
      <c r="D31" s="9"/>
      <c r="E31" s="15"/>
      <c r="F31" s="16"/>
      <c r="G31" s="16"/>
      <c r="H31" s="16"/>
      <c r="I31" s="16"/>
    </row>
    <row r="32" spans="2:9" x14ac:dyDescent="0.3">
      <c r="B32" s="2" t="s">
        <v>23</v>
      </c>
      <c r="C32" s="11" t="str">
        <f>+C22</f>
        <v>Annual 2024</v>
      </c>
      <c r="D32" s="11" t="str">
        <f>+D22</f>
        <v>Q1 2025</v>
      </c>
      <c r="E32" s="18" t="s">
        <v>29</v>
      </c>
      <c r="F32" s="19"/>
      <c r="G32" s="16"/>
      <c r="H32" s="16"/>
      <c r="I32" s="16"/>
    </row>
    <row r="33" spans="2:9" x14ac:dyDescent="0.3">
      <c r="B33" t="s">
        <v>12</v>
      </c>
      <c r="C33" s="9">
        <f>+'Annual 2024 SCR'!D33</f>
        <v>299.43900469352235</v>
      </c>
      <c r="D33" s="9">
        <v>878436.93195760087</v>
      </c>
      <c r="E33" s="15">
        <f t="shared" ref="E33:E35" si="4">+D33-C33</f>
        <v>878137.49295290734</v>
      </c>
      <c r="F33" s="16"/>
      <c r="G33" s="16"/>
      <c r="H33" s="16"/>
      <c r="I33" s="16"/>
    </row>
    <row r="34" spans="2:9" x14ac:dyDescent="0.3">
      <c r="B34" t="s">
        <v>14</v>
      </c>
      <c r="C34" s="9">
        <f>+'Annual 2024 SCR'!D34</f>
        <v>220142.56033319543</v>
      </c>
      <c r="D34" s="9">
        <v>612125.73554403172</v>
      </c>
      <c r="E34" s="15">
        <f t="shared" si="4"/>
        <v>391983.17521083629</v>
      </c>
      <c r="F34" s="16"/>
      <c r="G34" s="16"/>
      <c r="H34" s="16"/>
      <c r="I34" s="16"/>
    </row>
    <row r="35" spans="2:9" ht="16.2" x14ac:dyDescent="0.45">
      <c r="B35" s="6" t="s">
        <v>7</v>
      </c>
      <c r="C35" s="10">
        <f>+'Annual 2024 SCR'!D35</f>
        <v>220217.61094052071</v>
      </c>
      <c r="D35" s="10">
        <v>1189624.4306898706</v>
      </c>
      <c r="E35" s="17">
        <f t="shared" si="4"/>
        <v>969406.81974934996</v>
      </c>
      <c r="F35" s="16"/>
      <c r="G35" s="16"/>
      <c r="H35" s="16"/>
      <c r="I35" s="16"/>
    </row>
    <row r="36" spans="2:9" x14ac:dyDescent="0.3">
      <c r="B36" s="3"/>
      <c r="C36" s="9"/>
      <c r="D36" s="9"/>
      <c r="E36" s="15"/>
      <c r="F36" s="16"/>
      <c r="G36" s="16"/>
      <c r="H36" s="16"/>
      <c r="I36" s="16"/>
    </row>
    <row r="37" spans="2:9" x14ac:dyDescent="0.3">
      <c r="B37" s="3"/>
      <c r="C37" s="9"/>
      <c r="D37" s="9"/>
      <c r="E37" s="15"/>
      <c r="F37" s="16"/>
      <c r="G37" s="16"/>
      <c r="H37" s="16"/>
      <c r="I37" s="16"/>
    </row>
    <row r="38" spans="2:9" x14ac:dyDescent="0.3">
      <c r="C38" s="12"/>
      <c r="D38" s="12"/>
      <c r="E38" s="21"/>
      <c r="F38" s="16"/>
      <c r="G38" s="16"/>
      <c r="H38" s="16"/>
      <c r="I38" s="16"/>
    </row>
    <row r="39" spans="2:9" x14ac:dyDescent="0.3">
      <c r="B39" s="5" t="s">
        <v>79</v>
      </c>
      <c r="C39" s="12"/>
      <c r="D39" s="12"/>
      <c r="E39" s="21"/>
      <c r="F39" s="16"/>
      <c r="G39" s="16"/>
      <c r="H39" s="16"/>
      <c r="I39" s="16"/>
    </row>
    <row r="40" spans="2:9" x14ac:dyDescent="0.3">
      <c r="B40" s="4" t="s">
        <v>24</v>
      </c>
      <c r="C40" s="11" t="str">
        <f>+C32</f>
        <v>Annual 2024</v>
      </c>
      <c r="D40" s="11" t="str">
        <f>+D32</f>
        <v>Q1 2025</v>
      </c>
      <c r="E40" s="18" t="s">
        <v>29</v>
      </c>
      <c r="F40" s="19"/>
      <c r="G40" s="16"/>
      <c r="H40" s="16"/>
      <c r="I40" s="16"/>
    </row>
    <row r="41" spans="2:9" x14ac:dyDescent="0.3">
      <c r="B41" t="s">
        <v>32</v>
      </c>
      <c r="C41" s="12">
        <f>+'Annual 2024 SCR'!D41</f>
        <v>6585249.809283155</v>
      </c>
      <c r="D41" s="12">
        <v>8420689.2039712258</v>
      </c>
      <c r="E41" s="21">
        <f t="shared" ref="E41:E46" si="5">+D41-C41</f>
        <v>1835439.3946880708</v>
      </c>
      <c r="F41" s="16"/>
      <c r="G41" s="16"/>
      <c r="H41" s="16"/>
      <c r="I41" s="16"/>
    </row>
    <row r="42" spans="2:9" x14ac:dyDescent="0.3">
      <c r="B42" t="s">
        <v>33</v>
      </c>
      <c r="C42" s="12">
        <f>+'Annual 2024 SCR'!D42</f>
        <v>22455980.5836749</v>
      </c>
      <c r="D42" s="12">
        <v>20521525.18813128</v>
      </c>
      <c r="E42" s="21">
        <f t="shared" si="5"/>
        <v>-1934455.39554362</v>
      </c>
      <c r="F42" s="16"/>
      <c r="G42" s="16"/>
      <c r="H42" s="16"/>
      <c r="I42" s="16"/>
    </row>
    <row r="43" spans="2:9" x14ac:dyDescent="0.3">
      <c r="B43" t="s">
        <v>34</v>
      </c>
      <c r="C43" s="12">
        <f>+'Annual 2024 SCR'!D43</f>
        <v>2940703.5043357764</v>
      </c>
      <c r="D43" s="12">
        <v>4300319.6712106196</v>
      </c>
      <c r="E43" s="21">
        <f t="shared" si="5"/>
        <v>1359616.1668748432</v>
      </c>
      <c r="F43" s="16"/>
      <c r="G43" s="16"/>
      <c r="H43" s="16"/>
      <c r="I43" s="16"/>
    </row>
    <row r="44" spans="2:9" x14ac:dyDescent="0.3">
      <c r="B44" t="s">
        <v>35</v>
      </c>
      <c r="C44" s="12">
        <f>+'Annual 2024 SCR'!D44</f>
        <v>220217.61094052071</v>
      </c>
      <c r="D44" s="12">
        <v>1189624.4306898706</v>
      </c>
      <c r="E44" s="21">
        <f t="shared" si="5"/>
        <v>969406.81974934996</v>
      </c>
      <c r="F44" s="16"/>
      <c r="G44" s="16"/>
      <c r="H44" s="16"/>
      <c r="I44" s="16"/>
    </row>
    <row r="45" spans="2:9" x14ac:dyDescent="0.3">
      <c r="B45" t="s">
        <v>36</v>
      </c>
      <c r="C45" s="12">
        <f>+'Annual 2024 SCR'!D45</f>
        <v>9376848.1496567</v>
      </c>
      <c r="D45" s="12">
        <v>8954534.7192851994</v>
      </c>
      <c r="E45" s="21">
        <f t="shared" si="5"/>
        <v>-422313.43037150055</v>
      </c>
      <c r="F45" s="16"/>
      <c r="G45" s="16"/>
      <c r="H45" s="16"/>
      <c r="I45" s="16"/>
    </row>
    <row r="46" spans="2:9" ht="16.2" x14ac:dyDescent="0.45">
      <c r="B46" s="6" t="s">
        <v>38</v>
      </c>
      <c r="C46" s="13">
        <f>+'Annual 2024 SCR'!D46</f>
        <v>31715300.634427581</v>
      </c>
      <c r="D46" s="13">
        <v>31336898.093056716</v>
      </c>
      <c r="E46" s="22">
        <f t="shared" si="5"/>
        <v>-378402.54137086496</v>
      </c>
      <c r="F46" s="16"/>
      <c r="G46" s="16"/>
      <c r="H46" s="16"/>
      <c r="I46" s="16"/>
    </row>
    <row r="47" spans="2:9" x14ac:dyDescent="0.3">
      <c r="C47" s="12"/>
      <c r="D47" s="12"/>
      <c r="E47" s="21"/>
      <c r="F47" s="16"/>
      <c r="G47" s="16"/>
      <c r="H47" s="16"/>
      <c r="I47" s="16"/>
    </row>
    <row r="48" spans="2:9" x14ac:dyDescent="0.3">
      <c r="C48" s="12"/>
      <c r="D48" s="12"/>
      <c r="E48" s="21"/>
      <c r="F48" s="16"/>
      <c r="G48" s="16"/>
      <c r="H48" s="16"/>
      <c r="I48" s="16"/>
    </row>
    <row r="49" spans="2:9" x14ac:dyDescent="0.3">
      <c r="B49" t="s">
        <v>25</v>
      </c>
      <c r="C49" s="9">
        <f>+'Annual 2024 SCR'!D49</f>
        <v>8923159.1101645045</v>
      </c>
      <c r="D49" s="9">
        <v>7820065.6613019845</v>
      </c>
      <c r="E49" s="15">
        <f t="shared" ref="E49:E51" si="6">+D49-C49</f>
        <v>-1103093.44886252</v>
      </c>
      <c r="F49" s="16"/>
      <c r="G49" s="16"/>
      <c r="H49" s="16"/>
      <c r="I49" s="16"/>
    </row>
    <row r="50" spans="2:9" x14ac:dyDescent="0.3">
      <c r="B50" t="s">
        <v>26</v>
      </c>
      <c r="C50" s="9">
        <f>+'Annual 2024 SCR'!D50</f>
        <v>-9042430.5150075462</v>
      </c>
      <c r="D50" s="9">
        <v>-8673872.1951156221</v>
      </c>
      <c r="E50" s="15">
        <f t="shared" si="6"/>
        <v>368558.31989192404</v>
      </c>
      <c r="F50" s="16"/>
      <c r="G50" s="16"/>
      <c r="H50" s="16"/>
      <c r="I50" s="16"/>
    </row>
    <row r="51" spans="2:9" x14ac:dyDescent="0.3">
      <c r="B51" s="6" t="s">
        <v>27</v>
      </c>
      <c r="C51" s="14">
        <f>+'Annual 2024 SCR'!D51</f>
        <v>31596029.229584537</v>
      </c>
      <c r="D51" s="14">
        <v>30483091.559243079</v>
      </c>
      <c r="E51" s="23">
        <f t="shared" si="6"/>
        <v>-1112937.6703414582</v>
      </c>
      <c r="F51" s="16"/>
      <c r="G51" s="16"/>
      <c r="H51" s="16"/>
      <c r="I51" s="16"/>
    </row>
    <row r="52" spans="2:9" x14ac:dyDescent="0.3">
      <c r="C52" s="9"/>
      <c r="D52" s="9"/>
      <c r="E52" s="15"/>
      <c r="F52" s="16"/>
      <c r="G52" s="16"/>
      <c r="H52" s="16"/>
      <c r="I52" s="16"/>
    </row>
    <row r="53" spans="2:9" x14ac:dyDescent="0.3">
      <c r="B53" t="s">
        <v>31</v>
      </c>
      <c r="C53" s="9">
        <f>+'Annual 2024 SCR'!D53</f>
        <v>56442369.847595096</v>
      </c>
      <c r="D53" s="9">
        <v>56892154.871530831</v>
      </c>
      <c r="E53" s="15">
        <f>+D53-C53</f>
        <v>449785.02393573523</v>
      </c>
      <c r="F53" s="16"/>
      <c r="G53" s="16"/>
      <c r="H53" s="16"/>
      <c r="I53" s="16"/>
    </row>
    <row r="54" spans="2:9" x14ac:dyDescent="0.3">
      <c r="E54" s="16"/>
      <c r="F54" s="16"/>
      <c r="G54" s="16"/>
      <c r="H54" s="16"/>
      <c r="I54" s="16"/>
    </row>
    <row r="55" spans="2:9" x14ac:dyDescent="0.3">
      <c r="B55" s="7" t="s">
        <v>37</v>
      </c>
      <c r="C55" s="8">
        <f>+C53/C51</f>
        <v>1.7863754156407099</v>
      </c>
      <c r="D55" s="8">
        <f>+D53/D51</f>
        <v>1.8663512118172936</v>
      </c>
      <c r="E55" s="24">
        <f>+D55-C55</f>
        <v>7.997579617658368E-2</v>
      </c>
      <c r="F55" s="16"/>
      <c r="G55" s="16"/>
      <c r="H55" s="16"/>
      <c r="I55" s="16"/>
    </row>
    <row r="56" spans="2:9" x14ac:dyDescent="0.3">
      <c r="E56" s="16"/>
      <c r="F56" s="16"/>
      <c r="G56" s="16"/>
      <c r="H56" s="16"/>
      <c r="I56" s="16"/>
    </row>
    <row r="58" spans="2:9" x14ac:dyDescent="0.3">
      <c r="D58" s="26"/>
    </row>
    <row r="59" spans="2:9" x14ac:dyDescent="0.3">
      <c r="D59" s="26"/>
    </row>
    <row r="60" spans="2:9" x14ac:dyDescent="0.3">
      <c r="D60" s="27"/>
    </row>
    <row r="64" spans="2:9" x14ac:dyDescent="0.3">
      <c r="B64" s="4" t="s">
        <v>88</v>
      </c>
      <c r="C64" s="11">
        <f>+C51</f>
        <v>31596029.229584537</v>
      </c>
    </row>
    <row r="65" spans="2:3" x14ac:dyDescent="0.3">
      <c r="B65" t="s">
        <v>40</v>
      </c>
      <c r="C65" s="12">
        <f>+E41</f>
        <v>1835439.3946880708</v>
      </c>
    </row>
    <row r="66" spans="2:3" x14ac:dyDescent="0.3">
      <c r="B66" t="s">
        <v>41</v>
      </c>
      <c r="C66" s="12">
        <f t="shared" ref="C66:C69" si="7">+E42</f>
        <v>-1934455.39554362</v>
      </c>
    </row>
    <row r="67" spans="2:3" x14ac:dyDescent="0.3">
      <c r="B67" t="s">
        <v>42</v>
      </c>
      <c r="C67" s="12">
        <f t="shared" si="7"/>
        <v>1359616.1668748432</v>
      </c>
    </row>
    <row r="68" spans="2:3" x14ac:dyDescent="0.3">
      <c r="B68" t="s">
        <v>43</v>
      </c>
      <c r="C68" s="12">
        <f t="shared" si="7"/>
        <v>969406.81974934996</v>
      </c>
    </row>
    <row r="69" spans="2:3" x14ac:dyDescent="0.3">
      <c r="B69" t="s">
        <v>44</v>
      </c>
      <c r="C69" s="12">
        <f t="shared" si="7"/>
        <v>-422313.43037150055</v>
      </c>
    </row>
    <row r="70" spans="2:3" x14ac:dyDescent="0.3">
      <c r="B70" t="s">
        <v>45</v>
      </c>
      <c r="C70" s="12">
        <f>-SUM(E41:E45)+E46</f>
        <v>-2186096.0967680085</v>
      </c>
    </row>
    <row r="71" spans="2:3" x14ac:dyDescent="0.3">
      <c r="B71" t="s">
        <v>46</v>
      </c>
      <c r="C71" s="12">
        <f>+E49</f>
        <v>-1103093.44886252</v>
      </c>
    </row>
    <row r="72" spans="2:3" x14ac:dyDescent="0.3">
      <c r="B72" t="s">
        <v>47</v>
      </c>
      <c r="C72" s="12">
        <f>+E50</f>
        <v>368558.31989192404</v>
      </c>
    </row>
    <row r="73" spans="2:3" x14ac:dyDescent="0.3">
      <c r="B73" s="4" t="s">
        <v>39</v>
      </c>
      <c r="C73" s="11">
        <f>+SUM(C64:C72)</f>
        <v>30483091.559243083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956BC-4309-431A-BF7B-61D52000DE86}">
  <dimension ref="B1:I73"/>
  <sheetViews>
    <sheetView showGridLines="0" workbookViewId="0">
      <selection activeCell="D46" sqref="D46"/>
    </sheetView>
  </sheetViews>
  <sheetFormatPr defaultRowHeight="14.4" x14ac:dyDescent="0.3"/>
  <cols>
    <col min="1" max="1" width="4.33203125" customWidth="1"/>
    <col min="2" max="2" width="22.77734375" customWidth="1"/>
    <col min="3" max="3" width="13.88671875" bestFit="1" customWidth="1"/>
    <col min="4" max="4" width="17.77734375" bestFit="1" customWidth="1"/>
    <col min="5" max="5" width="13.88671875" bestFit="1" customWidth="1"/>
    <col min="6" max="6" width="40.77734375" customWidth="1"/>
  </cols>
  <sheetData>
    <row r="1" spans="2:9" x14ac:dyDescent="0.3">
      <c r="B1" s="5" t="s">
        <v>80</v>
      </c>
    </row>
    <row r="2" spans="2:9" x14ac:dyDescent="0.3">
      <c r="B2" s="2" t="s">
        <v>0</v>
      </c>
      <c r="C2" s="4" t="s">
        <v>28</v>
      </c>
      <c r="D2" s="4" t="s">
        <v>48</v>
      </c>
      <c r="E2" s="4" t="s">
        <v>29</v>
      </c>
      <c r="F2" s="4" t="s">
        <v>30</v>
      </c>
    </row>
    <row r="3" spans="2:9" x14ac:dyDescent="0.3">
      <c r="B3" t="s">
        <v>1</v>
      </c>
      <c r="C3" s="9">
        <f>+'Q1 2025 SCR'!D3</f>
        <v>137109.71992589533</v>
      </c>
      <c r="D3" s="9">
        <v>164901.35439203493</v>
      </c>
      <c r="E3" s="15">
        <f>+D3-C3</f>
        <v>27791.6344661396</v>
      </c>
      <c r="F3" s="16"/>
      <c r="G3" s="16"/>
      <c r="H3" s="16"/>
      <c r="I3" s="16"/>
    </row>
    <row r="4" spans="2:9" x14ac:dyDescent="0.3">
      <c r="B4" t="s">
        <v>2</v>
      </c>
      <c r="C4" s="9">
        <f>+'Q1 2025 SCR'!D4</f>
        <v>607987.06564361218</v>
      </c>
      <c r="D4" s="9">
        <v>648746.19436632516</v>
      </c>
      <c r="E4" s="15">
        <f t="shared" ref="E4:E9" si="0">+D4-C4</f>
        <v>40759.12872271298</v>
      </c>
      <c r="F4" s="16"/>
      <c r="G4" s="16"/>
      <c r="H4" s="16"/>
      <c r="I4" s="16"/>
    </row>
    <row r="5" spans="2:9" x14ac:dyDescent="0.3">
      <c r="B5" t="s">
        <v>3</v>
      </c>
      <c r="C5" s="9">
        <f>+'Q1 2025 SCR'!D5</f>
        <v>0</v>
      </c>
      <c r="D5" s="9">
        <v>0</v>
      </c>
      <c r="E5" s="15">
        <f t="shared" si="0"/>
        <v>0</v>
      </c>
      <c r="F5" s="16"/>
      <c r="G5" s="16"/>
      <c r="H5" s="16"/>
      <c r="I5" s="16"/>
    </row>
    <row r="6" spans="2:9" x14ac:dyDescent="0.3">
      <c r="B6" t="s">
        <v>4</v>
      </c>
      <c r="C6" s="9">
        <f>+'Q1 2025 SCR'!D6</f>
        <v>155104.27363013104</v>
      </c>
      <c r="D6" s="9">
        <v>143581.8578897191</v>
      </c>
      <c r="E6" s="15">
        <f t="shared" si="0"/>
        <v>-11522.415740411932</v>
      </c>
      <c r="F6" s="16"/>
      <c r="G6" s="16"/>
      <c r="H6" s="16"/>
      <c r="I6" s="16"/>
    </row>
    <row r="7" spans="2:9" x14ac:dyDescent="0.3">
      <c r="B7" t="s">
        <v>5</v>
      </c>
      <c r="C7" s="9">
        <f>+'Q1 2025 SCR'!D7</f>
        <v>8149864.280395099</v>
      </c>
      <c r="D7" s="9">
        <v>5109327.3786187125</v>
      </c>
      <c r="E7" s="15">
        <f t="shared" si="0"/>
        <v>-3040536.9017763864</v>
      </c>
      <c r="F7" s="16" t="s">
        <v>49</v>
      </c>
      <c r="G7" s="16"/>
      <c r="H7" s="16"/>
      <c r="I7" s="16"/>
    </row>
    <row r="8" spans="2:9" x14ac:dyDescent="0.3">
      <c r="B8" t="s">
        <v>6</v>
      </c>
      <c r="C8" s="9">
        <f>+'Q1 2025 SCR'!D8</f>
        <v>401094.30457591877</v>
      </c>
      <c r="D8" s="9">
        <v>403301.45666965761</v>
      </c>
      <c r="E8" s="15">
        <f t="shared" si="0"/>
        <v>2207.1520937388414</v>
      </c>
      <c r="F8" s="16"/>
      <c r="G8" s="16"/>
      <c r="H8" s="16"/>
      <c r="I8" s="16"/>
    </row>
    <row r="9" spans="2:9" ht="16.2" x14ac:dyDescent="0.45">
      <c r="B9" s="6" t="s">
        <v>7</v>
      </c>
      <c r="C9" s="10">
        <f>+'Q1 2025 SCR'!D9</f>
        <v>8420689.2039712258</v>
      </c>
      <c r="D9" s="10">
        <v>5427000.6090313494</v>
      </c>
      <c r="E9" s="17">
        <f t="shared" si="0"/>
        <v>-2993688.5949398763</v>
      </c>
      <c r="F9" s="16"/>
      <c r="G9" s="16"/>
      <c r="H9" s="16"/>
      <c r="I9" s="16"/>
    </row>
    <row r="10" spans="2:9" x14ac:dyDescent="0.3">
      <c r="C10" s="9"/>
      <c r="D10" s="9"/>
      <c r="E10" s="15"/>
      <c r="F10" s="16"/>
      <c r="G10" s="16"/>
      <c r="H10" s="16"/>
      <c r="I10" s="16"/>
    </row>
    <row r="11" spans="2:9" x14ac:dyDescent="0.3">
      <c r="B11" s="2" t="s">
        <v>8</v>
      </c>
      <c r="C11" s="11" t="str">
        <f>+C2</f>
        <v>Q1 2025</v>
      </c>
      <c r="D11" s="4" t="s">
        <v>48</v>
      </c>
      <c r="E11" s="18" t="s">
        <v>29</v>
      </c>
      <c r="F11" s="19" t="s">
        <v>30</v>
      </c>
      <c r="G11" s="16"/>
      <c r="H11" s="16"/>
      <c r="I11" s="16"/>
    </row>
    <row r="12" spans="2:9" x14ac:dyDescent="0.3">
      <c r="B12" t="s">
        <v>9</v>
      </c>
      <c r="C12" s="9">
        <f>+'Q1 2025 SCR'!D12</f>
        <v>9239694.0435061995</v>
      </c>
      <c r="D12" s="9">
        <v>8575011.2041891236</v>
      </c>
      <c r="E12" s="15">
        <f t="shared" ref="E12:E14" si="1">+D12-C12</f>
        <v>-664682.83931707591</v>
      </c>
      <c r="F12" s="16" t="s">
        <v>50</v>
      </c>
      <c r="G12" s="16"/>
      <c r="H12" s="16"/>
      <c r="I12" s="16"/>
    </row>
    <row r="13" spans="2:9" x14ac:dyDescent="0.3">
      <c r="B13" t="s">
        <v>10</v>
      </c>
      <c r="C13" s="9">
        <f>+'Q1 2025 SCR'!D13</f>
        <v>12660603.880954307</v>
      </c>
      <c r="D13" s="9">
        <v>11040550.31861466</v>
      </c>
      <c r="E13" s="15">
        <f t="shared" si="1"/>
        <v>-1620053.5623396467</v>
      </c>
      <c r="F13" s="25" t="s">
        <v>77</v>
      </c>
      <c r="G13" s="16"/>
      <c r="H13" s="16"/>
      <c r="I13" s="16"/>
    </row>
    <row r="14" spans="2:9" ht="16.2" x14ac:dyDescent="0.45">
      <c r="B14" s="6" t="s">
        <v>7</v>
      </c>
      <c r="C14" s="10">
        <f>+'Q1 2025 SCR'!D14</f>
        <v>20521525.18813128</v>
      </c>
      <c r="D14" s="10">
        <v>18369372.131720588</v>
      </c>
      <c r="E14" s="17">
        <f t="shared" si="1"/>
        <v>-2152153.0564106926</v>
      </c>
      <c r="F14" s="16"/>
      <c r="G14" s="16"/>
      <c r="H14" s="16"/>
      <c r="I14" s="16"/>
    </row>
    <row r="15" spans="2:9" x14ac:dyDescent="0.3">
      <c r="C15" s="1"/>
      <c r="D15" s="1"/>
      <c r="E15" s="20"/>
      <c r="F15" s="16"/>
      <c r="G15" s="16"/>
      <c r="H15" s="16"/>
      <c r="I15" s="16"/>
    </row>
    <row r="16" spans="2:9" x14ac:dyDescent="0.3">
      <c r="B16" s="2" t="s">
        <v>11</v>
      </c>
      <c r="C16" s="11" t="str">
        <f>+C11</f>
        <v>Q1 2025</v>
      </c>
      <c r="D16" s="4" t="s">
        <v>48</v>
      </c>
      <c r="E16" s="19" t="s">
        <v>29</v>
      </c>
      <c r="F16" s="19" t="s">
        <v>30</v>
      </c>
      <c r="G16" s="16"/>
      <c r="H16" s="16"/>
      <c r="I16" s="16"/>
    </row>
    <row r="17" spans="2:9" x14ac:dyDescent="0.3">
      <c r="B17" t="s">
        <v>12</v>
      </c>
      <c r="C17" s="9">
        <f>+'Q1 2025 SCR'!D17</f>
        <v>7226409.3425536472</v>
      </c>
      <c r="D17" s="9">
        <v>6674347.8177472698</v>
      </c>
      <c r="E17" s="15">
        <f t="shared" ref="E17:E20" si="2">+D17-C17</f>
        <v>-552061.52480637748</v>
      </c>
      <c r="F17" s="16" t="s">
        <v>78</v>
      </c>
      <c r="G17" s="16"/>
      <c r="H17" s="16"/>
      <c r="I17" s="16"/>
    </row>
    <row r="18" spans="2:9" x14ac:dyDescent="0.3">
      <c r="B18" t="s">
        <v>13</v>
      </c>
      <c r="C18" s="9">
        <f>+'Q1 2025 SCR'!D18</f>
        <v>1236842.4651241908</v>
      </c>
      <c r="D18" s="9">
        <v>1383398.1848927964</v>
      </c>
      <c r="E18" s="15">
        <f t="shared" si="2"/>
        <v>146555.71976860566</v>
      </c>
      <c r="F18" s="16"/>
      <c r="G18" s="16"/>
      <c r="H18" s="16"/>
      <c r="I18" s="16"/>
    </row>
    <row r="19" spans="2:9" x14ac:dyDescent="0.3">
      <c r="B19" t="s">
        <v>14</v>
      </c>
      <c r="C19" s="9">
        <f>+'Q1 2025 SCR'!D19</f>
        <v>3642868.534853247</v>
      </c>
      <c r="D19" s="9">
        <v>3834090.9429012164</v>
      </c>
      <c r="E19" s="15">
        <f t="shared" si="2"/>
        <v>191222.40804796945</v>
      </c>
      <c r="F19" s="16" t="s">
        <v>51</v>
      </c>
      <c r="G19" s="16"/>
      <c r="H19" s="16"/>
      <c r="I19" s="16"/>
    </row>
    <row r="20" spans="2:9" ht="16.2" x14ac:dyDescent="0.45">
      <c r="B20" s="6" t="s">
        <v>7</v>
      </c>
      <c r="C20" s="10">
        <f>+'Q1 2025 SCR'!D20</f>
        <v>8954534.7192851994</v>
      </c>
      <c r="D20" s="10">
        <v>8599766.9123975802</v>
      </c>
      <c r="E20" s="17">
        <f t="shared" si="2"/>
        <v>-354767.8068876192</v>
      </c>
      <c r="F20" s="16"/>
      <c r="G20" s="16"/>
      <c r="H20" s="16"/>
      <c r="I20" s="16"/>
    </row>
    <row r="21" spans="2:9" x14ac:dyDescent="0.3">
      <c r="C21" s="9"/>
      <c r="D21" s="9"/>
      <c r="E21" s="15"/>
      <c r="F21" s="16"/>
      <c r="G21" s="16"/>
      <c r="H21" s="16"/>
      <c r="I21" s="16"/>
    </row>
    <row r="22" spans="2:9" x14ac:dyDescent="0.3">
      <c r="B22" s="2" t="s">
        <v>15</v>
      </c>
      <c r="C22" s="11" t="str">
        <f>+C16</f>
        <v>Q1 2025</v>
      </c>
      <c r="D22" s="4" t="s">
        <v>48</v>
      </c>
      <c r="E22" s="18" t="s">
        <v>29</v>
      </c>
      <c r="F22" s="19" t="s">
        <v>30</v>
      </c>
      <c r="G22" s="16"/>
      <c r="H22" s="16"/>
      <c r="I22" s="16"/>
    </row>
    <row r="23" spans="2:9" x14ac:dyDescent="0.3">
      <c r="B23" t="s">
        <v>16</v>
      </c>
      <c r="C23" s="9">
        <f>+'Q1 2025 SCR'!D23</f>
        <v>467081.65673999861</v>
      </c>
      <c r="D23" s="9">
        <v>490042.79194041155</v>
      </c>
      <c r="E23" s="15">
        <f t="shared" ref="E23:E30" si="3">+D23-C23</f>
        <v>22961.135200412944</v>
      </c>
      <c r="F23" s="16"/>
      <c r="G23" s="16"/>
      <c r="H23" s="16"/>
      <c r="I23" s="16"/>
    </row>
    <row r="24" spans="2:9" x14ac:dyDescent="0.3">
      <c r="B24" t="s">
        <v>17</v>
      </c>
      <c r="C24" s="9">
        <f>+'Q1 2025 SCR'!D24</f>
        <v>0</v>
      </c>
      <c r="D24" s="9">
        <v>0</v>
      </c>
      <c r="E24" s="15">
        <f t="shared" si="3"/>
        <v>0</v>
      </c>
      <c r="F24" s="16"/>
      <c r="G24" s="16"/>
      <c r="H24" s="16"/>
      <c r="I24" s="16"/>
    </row>
    <row r="25" spans="2:9" x14ac:dyDescent="0.3">
      <c r="B25" t="s">
        <v>18</v>
      </c>
      <c r="C25" s="9">
        <f>+'Q1 2025 SCR'!D25</f>
        <v>71965.084902014583</v>
      </c>
      <c r="D25" s="9">
        <v>63785.787138272543</v>
      </c>
      <c r="E25" s="15">
        <f t="shared" si="3"/>
        <v>-8179.2977637420408</v>
      </c>
      <c r="F25" s="16"/>
      <c r="G25" s="16"/>
      <c r="H25" s="16"/>
      <c r="I25" s="16"/>
    </row>
    <row r="26" spans="2:9" x14ac:dyDescent="0.3">
      <c r="B26" t="s">
        <v>19</v>
      </c>
      <c r="C26" s="9">
        <f>+'Q1 2025 SCR'!D26</f>
        <v>1975976.4831107967</v>
      </c>
      <c r="D26" s="9">
        <v>518805.51379945205</v>
      </c>
      <c r="E26" s="15">
        <f t="shared" si="3"/>
        <v>-1457170.9693113447</v>
      </c>
      <c r="F26" s="16" t="s">
        <v>53</v>
      </c>
      <c r="G26" s="16"/>
      <c r="H26" s="16"/>
      <c r="I26" s="16"/>
    </row>
    <row r="27" spans="2:9" x14ac:dyDescent="0.3">
      <c r="B27" t="s">
        <v>20</v>
      </c>
      <c r="C27" s="9">
        <f>+'Q1 2025 SCR'!D27</f>
        <v>11792.473314337432</v>
      </c>
      <c r="D27" s="9">
        <v>21931.74439975532</v>
      </c>
      <c r="E27" s="15">
        <f t="shared" si="3"/>
        <v>10139.271085417888</v>
      </c>
      <c r="F27" s="16"/>
      <c r="G27" s="16"/>
      <c r="H27" s="16"/>
      <c r="I27" s="16"/>
    </row>
    <row r="28" spans="2:9" x14ac:dyDescent="0.3">
      <c r="B28" t="s">
        <v>21</v>
      </c>
      <c r="C28" s="9">
        <f>+'Q1 2025 SCR'!D28</f>
        <v>0</v>
      </c>
      <c r="D28" s="9">
        <v>0</v>
      </c>
      <c r="E28" s="15">
        <f t="shared" si="3"/>
        <v>0</v>
      </c>
      <c r="F28" s="16"/>
      <c r="G28" s="16"/>
      <c r="H28" s="16"/>
      <c r="I28" s="16"/>
    </row>
    <row r="29" spans="2:9" x14ac:dyDescent="0.3">
      <c r="B29" t="s">
        <v>22</v>
      </c>
      <c r="C29" s="9">
        <f>+'Q1 2025 SCR'!D29</f>
        <v>3204977.1470984966</v>
      </c>
      <c r="D29" s="9">
        <v>3394707.345880527</v>
      </c>
      <c r="E29" s="15">
        <f t="shared" si="3"/>
        <v>189730.19878203049</v>
      </c>
      <c r="F29" s="16" t="s">
        <v>52</v>
      </c>
      <c r="G29" s="16"/>
      <c r="H29" s="16"/>
      <c r="I29" s="16"/>
    </row>
    <row r="30" spans="2:9" ht="16.2" x14ac:dyDescent="0.45">
      <c r="B30" s="6" t="s">
        <v>7</v>
      </c>
      <c r="C30" s="10">
        <f>+'Q1 2025 SCR'!D30</f>
        <v>4300319.6712106196</v>
      </c>
      <c r="D30" s="10">
        <v>3732229.0803522179</v>
      </c>
      <c r="E30" s="17">
        <f t="shared" si="3"/>
        <v>-568090.59085840173</v>
      </c>
      <c r="F30" s="16"/>
      <c r="G30" s="16"/>
      <c r="H30" s="16"/>
      <c r="I30" s="16"/>
    </row>
    <row r="31" spans="2:9" x14ac:dyDescent="0.3">
      <c r="C31" s="9"/>
      <c r="D31" s="9"/>
      <c r="E31" s="15"/>
      <c r="F31" s="16"/>
      <c r="G31" s="16"/>
      <c r="H31" s="16"/>
      <c r="I31" s="16"/>
    </row>
    <row r="32" spans="2:9" x14ac:dyDescent="0.3">
      <c r="B32" s="2" t="s">
        <v>23</v>
      </c>
      <c r="C32" s="11" t="str">
        <f>+C22</f>
        <v>Q1 2025</v>
      </c>
      <c r="D32" s="4" t="s">
        <v>48</v>
      </c>
      <c r="E32" s="18" t="s">
        <v>29</v>
      </c>
      <c r="F32" s="19" t="s">
        <v>30</v>
      </c>
      <c r="G32" s="16"/>
      <c r="H32" s="16"/>
      <c r="I32" s="16"/>
    </row>
    <row r="33" spans="2:9" x14ac:dyDescent="0.3">
      <c r="B33" t="s">
        <v>12</v>
      </c>
      <c r="C33" s="9">
        <f>+'Q1 2025 SCR'!D33</f>
        <v>878436.93195760087</v>
      </c>
      <c r="D33" s="9">
        <v>828777.06673214363</v>
      </c>
      <c r="E33" s="15">
        <f t="shared" ref="E33:E35" si="4">+D33-C33</f>
        <v>-49659.865225457237</v>
      </c>
      <c r="F33" s="16"/>
      <c r="G33" s="16"/>
      <c r="H33" s="16"/>
      <c r="I33" s="16"/>
    </row>
    <row r="34" spans="2:9" x14ac:dyDescent="0.3">
      <c r="B34" t="s">
        <v>14</v>
      </c>
      <c r="C34" s="9">
        <f>+'Q1 2025 SCR'!D34</f>
        <v>612125.73554403172</v>
      </c>
      <c r="D34" s="9">
        <v>612125.43533381005</v>
      </c>
      <c r="E34" s="15">
        <f t="shared" si="4"/>
        <v>-0.30021022167056799</v>
      </c>
      <c r="F34" s="16"/>
      <c r="G34" s="16"/>
      <c r="H34" s="16"/>
      <c r="I34" s="16"/>
    </row>
    <row r="35" spans="2:9" ht="16.2" x14ac:dyDescent="0.45">
      <c r="B35" s="6" t="s">
        <v>7</v>
      </c>
      <c r="C35" s="10">
        <f>+'Q1 2025 SCR'!D35</f>
        <v>1189624.4306898706</v>
      </c>
      <c r="D35" s="10">
        <v>1146833.3515850455</v>
      </c>
      <c r="E35" s="17">
        <f t="shared" si="4"/>
        <v>-42791.079104825156</v>
      </c>
      <c r="F35" s="16"/>
      <c r="G35" s="16"/>
      <c r="H35" s="16"/>
      <c r="I35" s="16"/>
    </row>
    <row r="36" spans="2:9" x14ac:dyDescent="0.3">
      <c r="B36" s="3"/>
      <c r="C36" s="9"/>
      <c r="D36" s="9"/>
      <c r="E36" s="15"/>
      <c r="F36" s="16"/>
      <c r="G36" s="16"/>
      <c r="H36" s="16"/>
      <c r="I36" s="16"/>
    </row>
    <row r="37" spans="2:9" x14ac:dyDescent="0.3">
      <c r="B37" s="3"/>
      <c r="C37" s="9"/>
      <c r="D37" s="9"/>
      <c r="E37" s="15"/>
      <c r="F37" s="16"/>
      <c r="G37" s="16"/>
      <c r="H37" s="16"/>
      <c r="I37" s="16"/>
    </row>
    <row r="38" spans="2:9" x14ac:dyDescent="0.3">
      <c r="C38" s="12"/>
      <c r="D38" s="12"/>
      <c r="E38" s="21"/>
      <c r="F38" s="16"/>
      <c r="G38" s="16"/>
      <c r="H38" s="16"/>
      <c r="I38" s="16"/>
    </row>
    <row r="39" spans="2:9" x14ac:dyDescent="0.3">
      <c r="B39" s="5" t="s">
        <v>79</v>
      </c>
      <c r="C39" s="12"/>
      <c r="D39" s="12"/>
      <c r="E39" s="21"/>
      <c r="F39" s="16"/>
      <c r="G39" s="16"/>
      <c r="H39" s="16"/>
      <c r="I39" s="16"/>
    </row>
    <row r="40" spans="2:9" x14ac:dyDescent="0.3">
      <c r="B40" s="4" t="s">
        <v>24</v>
      </c>
      <c r="C40" s="11" t="str">
        <f>+C32</f>
        <v>Q1 2025</v>
      </c>
      <c r="D40" s="4" t="s">
        <v>48</v>
      </c>
      <c r="E40" s="18" t="s">
        <v>29</v>
      </c>
      <c r="F40" s="19" t="s">
        <v>30</v>
      </c>
      <c r="G40" s="16"/>
      <c r="H40" s="16"/>
      <c r="I40" s="16"/>
    </row>
    <row r="41" spans="2:9" x14ac:dyDescent="0.3">
      <c r="B41" t="s">
        <v>32</v>
      </c>
      <c r="C41" s="12">
        <f>+'Q1 2025 SCR'!D41</f>
        <v>8420689.2039712258</v>
      </c>
      <c r="D41" s="12">
        <v>5427000.6090313494</v>
      </c>
      <c r="E41" s="21">
        <f t="shared" ref="E41:E46" si="5">+D41-C41</f>
        <v>-2993688.5949398763</v>
      </c>
      <c r="F41" s="16"/>
      <c r="G41" s="16"/>
      <c r="H41" s="16"/>
      <c r="I41" s="16"/>
    </row>
    <row r="42" spans="2:9" x14ac:dyDescent="0.3">
      <c r="B42" t="s">
        <v>33</v>
      </c>
      <c r="C42" s="12">
        <f>+'Q1 2025 SCR'!D42</f>
        <v>20521525.18813128</v>
      </c>
      <c r="D42" s="12">
        <v>18369372.131720588</v>
      </c>
      <c r="E42" s="21">
        <f t="shared" si="5"/>
        <v>-2152153.0564106926</v>
      </c>
      <c r="F42" s="16"/>
      <c r="G42" s="16"/>
      <c r="H42" s="16"/>
      <c r="I42" s="16"/>
    </row>
    <row r="43" spans="2:9" x14ac:dyDescent="0.3">
      <c r="B43" t="s">
        <v>34</v>
      </c>
      <c r="C43" s="12">
        <f>+'Q1 2025 SCR'!D43</f>
        <v>4300319.6712106196</v>
      </c>
      <c r="D43" s="12">
        <v>3732229.0803522179</v>
      </c>
      <c r="E43" s="21">
        <f t="shared" si="5"/>
        <v>-568090.59085840173</v>
      </c>
      <c r="F43" s="16"/>
      <c r="G43" s="16"/>
      <c r="H43" s="16"/>
      <c r="I43" s="16"/>
    </row>
    <row r="44" spans="2:9" x14ac:dyDescent="0.3">
      <c r="B44" t="s">
        <v>35</v>
      </c>
      <c r="C44" s="12">
        <f>+'Q1 2025 SCR'!D44</f>
        <v>1189624.4306898706</v>
      </c>
      <c r="D44" s="12">
        <v>1146833.3515850455</v>
      </c>
      <c r="E44" s="21">
        <f t="shared" si="5"/>
        <v>-42791.079104825156</v>
      </c>
      <c r="F44" s="16"/>
      <c r="G44" s="16"/>
      <c r="H44" s="16"/>
      <c r="I44" s="16"/>
    </row>
    <row r="45" spans="2:9" x14ac:dyDescent="0.3">
      <c r="B45" t="s">
        <v>36</v>
      </c>
      <c r="C45" s="12">
        <f>+'Q1 2025 SCR'!D45</f>
        <v>8954534.7192851994</v>
      </c>
      <c r="D45" s="12">
        <v>8599766.9123975802</v>
      </c>
      <c r="E45" s="21">
        <f t="shared" si="5"/>
        <v>-354767.8068876192</v>
      </c>
      <c r="F45" s="16"/>
      <c r="G45" s="16"/>
      <c r="H45" s="16"/>
      <c r="I45" s="16"/>
    </row>
    <row r="46" spans="2:9" ht="16.2" x14ac:dyDescent="0.45">
      <c r="B46" s="6" t="s">
        <v>38</v>
      </c>
      <c r="C46" s="13">
        <f>+'Q1 2025 SCR'!D46</f>
        <v>31336898.093056716</v>
      </c>
      <c r="D46" s="13">
        <v>27339204.851371091</v>
      </c>
      <c r="E46" s="22">
        <f t="shared" si="5"/>
        <v>-3997693.2416856252</v>
      </c>
      <c r="F46" s="16"/>
      <c r="G46" s="16"/>
      <c r="H46" s="16"/>
      <c r="I46" s="16"/>
    </row>
    <row r="47" spans="2:9" x14ac:dyDescent="0.3">
      <c r="C47" s="12"/>
      <c r="D47" s="12"/>
      <c r="E47" s="21"/>
      <c r="F47" s="16"/>
      <c r="G47" s="16"/>
      <c r="H47" s="16"/>
      <c r="I47" s="16"/>
    </row>
    <row r="48" spans="2:9" x14ac:dyDescent="0.3">
      <c r="C48" s="12"/>
      <c r="D48" s="12"/>
      <c r="E48" s="21"/>
      <c r="F48" s="16"/>
      <c r="G48" s="16"/>
      <c r="H48" s="16"/>
      <c r="I48" s="16"/>
    </row>
    <row r="49" spans="2:9" x14ac:dyDescent="0.3">
      <c r="B49" t="s">
        <v>25</v>
      </c>
      <c r="C49" s="9">
        <f>+'Q1 2025 SCR'!D49</f>
        <v>7820065.6613019845</v>
      </c>
      <c r="D49" s="9">
        <v>6411779.0633411547</v>
      </c>
      <c r="E49" s="15">
        <f t="shared" ref="E49:E51" si="6">+D49-C49</f>
        <v>-1408286.5979608297</v>
      </c>
      <c r="F49" s="16" t="s">
        <v>56</v>
      </c>
      <c r="G49" s="16"/>
      <c r="H49" s="16"/>
      <c r="I49" s="16"/>
    </row>
    <row r="50" spans="2:9" x14ac:dyDescent="0.3">
      <c r="B50" t="s">
        <v>26</v>
      </c>
      <c r="C50" s="9">
        <f>+'Q1 2025 SCR'!D50</f>
        <v>-8673872.1951156221</v>
      </c>
      <c r="D50" s="9">
        <v>-8056359.8604418123</v>
      </c>
      <c r="E50" s="15">
        <f t="shared" si="6"/>
        <v>617512.33467380982</v>
      </c>
      <c r="F50" s="16" t="s">
        <v>55</v>
      </c>
      <c r="G50" s="16"/>
      <c r="H50" s="16"/>
      <c r="I50" s="16"/>
    </row>
    <row r="51" spans="2:9" x14ac:dyDescent="0.3">
      <c r="B51" s="6" t="s">
        <v>27</v>
      </c>
      <c r="C51" s="14">
        <f>+'Q1 2025 SCR'!D51</f>
        <v>30483091.559243079</v>
      </c>
      <c r="D51" s="14">
        <f>+D46+D49+D50</f>
        <v>25694624.054270431</v>
      </c>
      <c r="E51" s="23">
        <f t="shared" si="6"/>
        <v>-4788467.5049726479</v>
      </c>
      <c r="F51" s="16" t="s">
        <v>57</v>
      </c>
      <c r="G51" s="16"/>
      <c r="H51" s="16"/>
      <c r="I51" s="16"/>
    </row>
    <row r="52" spans="2:9" x14ac:dyDescent="0.3">
      <c r="C52" s="9"/>
      <c r="D52" s="9"/>
      <c r="E52" s="15"/>
      <c r="F52" s="16"/>
      <c r="G52" s="16"/>
      <c r="H52" s="16"/>
      <c r="I52" s="16"/>
    </row>
    <row r="53" spans="2:9" x14ac:dyDescent="0.3">
      <c r="B53" t="s">
        <v>31</v>
      </c>
      <c r="C53" s="9">
        <f>+'Q1 2025 SCR'!D53</f>
        <v>56892154.871530831</v>
      </c>
      <c r="D53" s="9">
        <v>61494211.290179551</v>
      </c>
      <c r="E53" s="15">
        <f>+D53-C53</f>
        <v>4602056.4186487198</v>
      </c>
      <c r="F53" s="16" t="s">
        <v>53</v>
      </c>
      <c r="G53" s="16"/>
      <c r="H53" s="16"/>
      <c r="I53" s="16"/>
    </row>
    <row r="54" spans="2:9" x14ac:dyDescent="0.3">
      <c r="E54" s="16"/>
      <c r="F54" s="16"/>
      <c r="G54" s="16"/>
      <c r="H54" s="16"/>
      <c r="I54" s="16"/>
    </row>
    <row r="55" spans="2:9" x14ac:dyDescent="0.3">
      <c r="B55" s="7" t="s">
        <v>37</v>
      </c>
      <c r="C55" s="8">
        <f>+C53/C51</f>
        <v>1.8663512118172936</v>
      </c>
      <c r="D55" s="8">
        <f>+D53/D51</f>
        <v>2.3932714936904964</v>
      </c>
      <c r="E55" s="24">
        <f>+D55-C55</f>
        <v>0.52692028187320283</v>
      </c>
      <c r="F55" s="16" t="s">
        <v>54</v>
      </c>
      <c r="G55" s="16"/>
      <c r="H55" s="16"/>
      <c r="I55" s="16"/>
    </row>
    <row r="56" spans="2:9" x14ac:dyDescent="0.3">
      <c r="E56" s="16"/>
      <c r="F56" s="16"/>
      <c r="G56" s="16"/>
      <c r="H56" s="16"/>
      <c r="I56" s="16"/>
    </row>
    <row r="58" spans="2:9" x14ac:dyDescent="0.3">
      <c r="D58" s="26"/>
    </row>
    <row r="59" spans="2:9" x14ac:dyDescent="0.3">
      <c r="D59" s="26"/>
    </row>
    <row r="60" spans="2:9" x14ac:dyDescent="0.3">
      <c r="D60" s="27"/>
    </row>
    <row r="64" spans="2:9" x14ac:dyDescent="0.3">
      <c r="B64" s="4" t="s">
        <v>39</v>
      </c>
      <c r="C64" s="11">
        <f>+C51</f>
        <v>30483091.559243079</v>
      </c>
    </row>
    <row r="65" spans="2:3" x14ac:dyDescent="0.3">
      <c r="B65" t="s">
        <v>40</v>
      </c>
      <c r="C65" s="12">
        <f>+E41</f>
        <v>-2993688.5949398763</v>
      </c>
    </row>
    <row r="66" spans="2:3" x14ac:dyDescent="0.3">
      <c r="B66" t="s">
        <v>41</v>
      </c>
      <c r="C66" s="12">
        <f t="shared" ref="C66:C69" si="7">+E42</f>
        <v>-2152153.0564106926</v>
      </c>
    </row>
    <row r="67" spans="2:3" x14ac:dyDescent="0.3">
      <c r="B67" t="s">
        <v>42</v>
      </c>
      <c r="C67" s="12">
        <f t="shared" si="7"/>
        <v>-568090.59085840173</v>
      </c>
    </row>
    <row r="68" spans="2:3" x14ac:dyDescent="0.3">
      <c r="B68" t="s">
        <v>43</v>
      </c>
      <c r="C68" s="12">
        <f t="shared" si="7"/>
        <v>-42791.079104825156</v>
      </c>
    </row>
    <row r="69" spans="2:3" x14ac:dyDescent="0.3">
      <c r="B69" t="s">
        <v>44</v>
      </c>
      <c r="C69" s="12">
        <f t="shared" si="7"/>
        <v>-354767.8068876192</v>
      </c>
    </row>
    <row r="70" spans="2:3" x14ac:dyDescent="0.3">
      <c r="B70" t="s">
        <v>45</v>
      </c>
      <c r="C70" s="12">
        <f>-SUM(E41:E45)+E46</f>
        <v>2113797.8865157897</v>
      </c>
    </row>
    <row r="71" spans="2:3" x14ac:dyDescent="0.3">
      <c r="B71" t="s">
        <v>46</v>
      </c>
      <c r="C71" s="12">
        <f>+E49</f>
        <v>-1408286.5979608297</v>
      </c>
    </row>
    <row r="72" spans="2:3" x14ac:dyDescent="0.3">
      <c r="B72" t="s">
        <v>47</v>
      </c>
      <c r="C72" s="12">
        <f>+E50</f>
        <v>617512.33467380982</v>
      </c>
    </row>
    <row r="73" spans="2:3" x14ac:dyDescent="0.3">
      <c r="B73" s="4" t="s">
        <v>81</v>
      </c>
      <c r="C73" s="11">
        <f>+SUM(C64:C72)</f>
        <v>25694624.054270435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3B22A-19A8-4CC0-84A4-C4343E2FDABA}">
  <dimension ref="B1:I73"/>
  <sheetViews>
    <sheetView workbookViewId="0">
      <selection activeCell="F29" sqref="F29"/>
    </sheetView>
  </sheetViews>
  <sheetFormatPr defaultRowHeight="14.4" x14ac:dyDescent="0.3"/>
  <cols>
    <col min="1" max="1" width="4.33203125" customWidth="1"/>
    <col min="2" max="2" width="22.77734375" customWidth="1"/>
    <col min="3" max="3" width="13.88671875" bestFit="1" customWidth="1"/>
    <col min="4" max="4" width="17.77734375" bestFit="1" customWidth="1"/>
    <col min="5" max="5" width="13.88671875" bestFit="1" customWidth="1"/>
    <col min="6" max="6" width="40.77734375" customWidth="1"/>
  </cols>
  <sheetData>
    <row r="1" spans="2:9" x14ac:dyDescent="0.3">
      <c r="B1" s="5" t="s">
        <v>80</v>
      </c>
    </row>
    <row r="2" spans="2:9" x14ac:dyDescent="0.3">
      <c r="B2" s="2" t="s">
        <v>0</v>
      </c>
      <c r="C2" s="4" t="s">
        <v>48</v>
      </c>
      <c r="D2" s="4" t="s">
        <v>98</v>
      </c>
      <c r="E2" s="4" t="s">
        <v>29</v>
      </c>
      <c r="F2" s="4" t="s">
        <v>30</v>
      </c>
    </row>
    <row r="3" spans="2:9" x14ac:dyDescent="0.3">
      <c r="B3" t="s">
        <v>1</v>
      </c>
      <c r="C3" s="9">
        <v>164901.35439203493</v>
      </c>
      <c r="D3" s="9">
        <v>6099.9560149312019</v>
      </c>
      <c r="E3" s="15">
        <f>+D3-C3</f>
        <v>-158801.39837710373</v>
      </c>
      <c r="F3" s="16" t="s">
        <v>99</v>
      </c>
      <c r="G3" s="16"/>
      <c r="H3" s="16"/>
      <c r="I3" s="16"/>
    </row>
    <row r="4" spans="2:9" x14ac:dyDescent="0.3">
      <c r="B4" t="s">
        <v>2</v>
      </c>
      <c r="C4" s="9">
        <v>648746.19436632516</v>
      </c>
      <c r="D4" s="9">
        <v>660437.72398853616</v>
      </c>
      <c r="E4" s="15">
        <f t="shared" ref="E4:E9" si="0">+D4-C4</f>
        <v>11691.529622211005</v>
      </c>
      <c r="F4" s="16"/>
      <c r="G4" s="16"/>
      <c r="H4" s="16"/>
      <c r="I4" s="16"/>
    </row>
    <row r="5" spans="2:9" x14ac:dyDescent="0.3">
      <c r="B5" t="s">
        <v>3</v>
      </c>
      <c r="C5" s="9">
        <v>0</v>
      </c>
      <c r="D5" s="9">
        <v>0</v>
      </c>
      <c r="E5" s="15">
        <f t="shared" si="0"/>
        <v>0</v>
      </c>
      <c r="F5" s="16"/>
      <c r="G5" s="16"/>
      <c r="H5" s="16"/>
      <c r="I5" s="16"/>
    </row>
    <row r="6" spans="2:9" x14ac:dyDescent="0.3">
      <c r="B6" t="s">
        <v>4</v>
      </c>
      <c r="C6" s="9">
        <v>143581.8578897191</v>
      </c>
      <c r="D6" s="9">
        <v>130552.54933149993</v>
      </c>
      <c r="E6" s="15">
        <f t="shared" si="0"/>
        <v>-13029.308558219171</v>
      </c>
      <c r="F6" s="16"/>
      <c r="G6" s="16"/>
      <c r="H6" s="16"/>
      <c r="I6" s="16"/>
    </row>
    <row r="7" spans="2:9" x14ac:dyDescent="0.3">
      <c r="B7" t="s">
        <v>5</v>
      </c>
      <c r="C7" s="9">
        <v>5109327.3786187125</v>
      </c>
      <c r="D7" s="9">
        <v>6722201.4352612402</v>
      </c>
      <c r="E7" s="15">
        <f t="shared" si="0"/>
        <v>1612874.0566425277</v>
      </c>
      <c r="F7" s="16" t="s">
        <v>100</v>
      </c>
      <c r="G7" s="16"/>
      <c r="H7" s="16"/>
      <c r="I7" s="16"/>
    </row>
    <row r="8" spans="2:9" x14ac:dyDescent="0.3">
      <c r="B8" t="s">
        <v>6</v>
      </c>
      <c r="C8" s="9">
        <v>403301.45666965761</v>
      </c>
      <c r="D8" s="9">
        <v>366581.52489133563</v>
      </c>
      <c r="E8" s="15">
        <f t="shared" si="0"/>
        <v>-36719.931778321974</v>
      </c>
      <c r="F8" s="16"/>
      <c r="G8" s="16"/>
      <c r="H8" s="16"/>
      <c r="I8" s="16"/>
    </row>
    <row r="9" spans="2:9" ht="16.2" x14ac:dyDescent="0.45">
      <c r="B9" s="6" t="s">
        <v>7</v>
      </c>
      <c r="C9" s="10">
        <v>5427000.6090313494</v>
      </c>
      <c r="D9" s="10">
        <v>6970573.2623658096</v>
      </c>
      <c r="E9" s="17">
        <f t="shared" si="0"/>
        <v>1543572.6533344602</v>
      </c>
      <c r="F9" s="16"/>
      <c r="G9" s="16"/>
      <c r="H9" s="16"/>
      <c r="I9" s="16"/>
    </row>
    <row r="10" spans="2:9" x14ac:dyDescent="0.3">
      <c r="C10" s="9"/>
      <c r="D10" s="9"/>
      <c r="E10" s="15"/>
      <c r="F10" s="16"/>
      <c r="G10" s="16"/>
      <c r="H10" s="16"/>
      <c r="I10" s="16"/>
    </row>
    <row r="11" spans="2:9" x14ac:dyDescent="0.3">
      <c r="B11" s="2" t="s">
        <v>8</v>
      </c>
      <c r="C11" s="4" t="s">
        <v>48</v>
      </c>
      <c r="D11" s="4" t="str">
        <f>+D2</f>
        <v>Q3 2025</v>
      </c>
      <c r="E11" s="18" t="s">
        <v>29</v>
      </c>
      <c r="F11" s="19" t="s">
        <v>30</v>
      </c>
      <c r="G11" s="16"/>
      <c r="H11" s="16"/>
      <c r="I11" s="16"/>
    </row>
    <row r="12" spans="2:9" x14ac:dyDescent="0.3">
      <c r="B12" t="s">
        <v>9</v>
      </c>
      <c r="C12" s="9">
        <v>8575011.2041891236</v>
      </c>
      <c r="D12" s="9">
        <v>8399881.5257690214</v>
      </c>
      <c r="E12" s="15">
        <f>+D12-C12</f>
        <v>-175129.67842010222</v>
      </c>
      <c r="F12" s="16" t="s">
        <v>101</v>
      </c>
      <c r="G12" s="16"/>
      <c r="H12" s="16"/>
      <c r="I12" s="16"/>
    </row>
    <row r="13" spans="2:9" x14ac:dyDescent="0.3">
      <c r="B13" t="s">
        <v>10</v>
      </c>
      <c r="C13" s="9">
        <v>11040550.31861466</v>
      </c>
      <c r="D13" s="9">
        <v>11462983.039431581</v>
      </c>
      <c r="E13" s="15">
        <f>+D13-C13</f>
        <v>422432.72081692144</v>
      </c>
      <c r="F13" s="25" t="s">
        <v>102</v>
      </c>
      <c r="G13" s="16"/>
      <c r="H13" s="16"/>
      <c r="I13" s="16"/>
    </row>
    <row r="14" spans="2:9" ht="16.2" x14ac:dyDescent="0.45">
      <c r="B14" s="6" t="s">
        <v>7</v>
      </c>
      <c r="C14" s="10">
        <v>18369372.131720588</v>
      </c>
      <c r="D14" s="10">
        <v>18611543.165571716</v>
      </c>
      <c r="E14" s="17">
        <f>+D14-C14</f>
        <v>242171.03385112807</v>
      </c>
      <c r="F14" s="16"/>
      <c r="G14" s="16"/>
      <c r="H14" s="16"/>
      <c r="I14" s="16"/>
    </row>
    <row r="15" spans="2:9" x14ac:dyDescent="0.3">
      <c r="C15" s="1"/>
      <c r="D15" s="1"/>
      <c r="E15" s="20"/>
      <c r="F15" s="16"/>
      <c r="G15" s="16"/>
      <c r="H15" s="16"/>
      <c r="I15" s="16"/>
    </row>
    <row r="16" spans="2:9" x14ac:dyDescent="0.3">
      <c r="B16" s="2" t="s">
        <v>11</v>
      </c>
      <c r="C16" s="4" t="s">
        <v>48</v>
      </c>
      <c r="D16" s="4" t="str">
        <f>+D11</f>
        <v>Q3 2025</v>
      </c>
      <c r="E16" s="19" t="s">
        <v>29</v>
      </c>
      <c r="F16" s="19" t="s">
        <v>30</v>
      </c>
      <c r="G16" s="16"/>
      <c r="H16" s="16"/>
      <c r="I16" s="16"/>
    </row>
    <row r="17" spans="2:9" x14ac:dyDescent="0.3">
      <c r="B17" t="s">
        <v>12</v>
      </c>
      <c r="C17" s="9">
        <v>6674347.8177472698</v>
      </c>
      <c r="D17" s="9">
        <v>6880373.5150640905</v>
      </c>
      <c r="E17" s="15">
        <f>+D17-C17</f>
        <v>206025.69731682073</v>
      </c>
      <c r="F17" s="16" t="s">
        <v>103</v>
      </c>
      <c r="G17" s="16"/>
      <c r="H17" s="16"/>
      <c r="I17" s="16"/>
    </row>
    <row r="18" spans="2:9" x14ac:dyDescent="0.3">
      <c r="B18" t="s">
        <v>13</v>
      </c>
      <c r="C18" s="9">
        <v>1383398.1848927964</v>
      </c>
      <c r="D18" s="9">
        <v>1154593.7890739921</v>
      </c>
      <c r="E18" s="15">
        <f>+D18-C18</f>
        <v>-228804.39581880439</v>
      </c>
      <c r="F18" s="16" t="s">
        <v>104</v>
      </c>
      <c r="G18" s="16"/>
      <c r="H18" s="16"/>
      <c r="I18" s="16"/>
    </row>
    <row r="19" spans="2:9" x14ac:dyDescent="0.3">
      <c r="B19" t="s">
        <v>14</v>
      </c>
      <c r="C19" s="9">
        <v>3834090.9429012164</v>
      </c>
      <c r="D19" s="9">
        <v>3581804.7452977025</v>
      </c>
      <c r="E19" s="15">
        <f>+D19-C19</f>
        <v>-252286.19760351395</v>
      </c>
      <c r="F19" s="16" t="s">
        <v>105</v>
      </c>
      <c r="G19" s="16"/>
      <c r="H19" s="16"/>
      <c r="I19" s="16"/>
    </row>
    <row r="20" spans="2:9" ht="16.2" x14ac:dyDescent="0.45">
      <c r="B20" s="6" t="s">
        <v>7</v>
      </c>
      <c r="C20" s="10">
        <v>8599766.9123975802</v>
      </c>
      <c r="D20" s="10">
        <v>8592091.0732393526</v>
      </c>
      <c r="E20" s="17">
        <f>+D20-C20</f>
        <v>-7675.8391582276672</v>
      </c>
      <c r="F20" s="16"/>
      <c r="G20" s="16"/>
      <c r="H20" s="16"/>
      <c r="I20" s="16"/>
    </row>
    <row r="21" spans="2:9" x14ac:dyDescent="0.3">
      <c r="C21" s="9"/>
      <c r="D21" s="9"/>
      <c r="E21" s="15"/>
      <c r="F21" s="16"/>
      <c r="G21" s="16"/>
      <c r="H21" s="16"/>
      <c r="I21" s="16"/>
    </row>
    <row r="22" spans="2:9" x14ac:dyDescent="0.3">
      <c r="B22" s="2" t="s">
        <v>15</v>
      </c>
      <c r="C22" s="4" t="s">
        <v>48</v>
      </c>
      <c r="D22" s="4" t="str">
        <f>+D2</f>
        <v>Q3 2025</v>
      </c>
      <c r="E22" s="18" t="s">
        <v>29</v>
      </c>
      <c r="F22" s="19" t="s">
        <v>30</v>
      </c>
      <c r="G22" s="16"/>
      <c r="H22" s="16"/>
      <c r="I22" s="16"/>
    </row>
    <row r="23" spans="2:9" x14ac:dyDescent="0.3">
      <c r="B23" t="s">
        <v>16</v>
      </c>
      <c r="C23" s="9">
        <v>490042.79194041155</v>
      </c>
      <c r="D23" s="9">
        <v>465008.74869865132</v>
      </c>
      <c r="E23" s="15">
        <f t="shared" ref="E23:E30" si="1">+D23-C23</f>
        <v>-25034.043241760228</v>
      </c>
      <c r="F23" s="16"/>
      <c r="G23" s="16"/>
      <c r="H23" s="16"/>
      <c r="I23" s="16"/>
    </row>
    <row r="24" spans="2:9" x14ac:dyDescent="0.3">
      <c r="B24" t="s">
        <v>17</v>
      </c>
      <c r="C24" s="9">
        <v>0</v>
      </c>
      <c r="D24" s="9">
        <v>0</v>
      </c>
      <c r="E24" s="15">
        <f t="shared" si="1"/>
        <v>0</v>
      </c>
      <c r="F24" s="16"/>
      <c r="G24" s="16"/>
      <c r="H24" s="16"/>
      <c r="I24" s="16"/>
    </row>
    <row r="25" spans="2:9" x14ac:dyDescent="0.3">
      <c r="B25" t="s">
        <v>18</v>
      </c>
      <c r="C25" s="9">
        <v>63785.787138272543</v>
      </c>
      <c r="D25" s="9">
        <v>201243.57713569188</v>
      </c>
      <c r="E25" s="15">
        <f t="shared" si="1"/>
        <v>137457.78999741934</v>
      </c>
      <c r="F25" s="16" t="s">
        <v>106</v>
      </c>
      <c r="G25" s="16"/>
      <c r="H25" s="16"/>
      <c r="I25" s="16"/>
    </row>
    <row r="26" spans="2:9" x14ac:dyDescent="0.3">
      <c r="B26" t="s">
        <v>19</v>
      </c>
      <c r="C26" s="9">
        <v>518805.51379945205</v>
      </c>
      <c r="D26" s="9">
        <v>280298.83697212086</v>
      </c>
      <c r="E26" s="15">
        <f t="shared" si="1"/>
        <v>-238506.67682733119</v>
      </c>
      <c r="F26" s="16" t="s">
        <v>104</v>
      </c>
      <c r="G26" s="16"/>
      <c r="H26" s="16"/>
      <c r="I26" s="16"/>
    </row>
    <row r="27" spans="2:9" x14ac:dyDescent="0.3">
      <c r="B27" t="s">
        <v>20</v>
      </c>
      <c r="C27" s="9">
        <v>21931.74439975532</v>
      </c>
      <c r="D27" s="9">
        <v>20473.731247671996</v>
      </c>
      <c r="E27" s="15">
        <f t="shared" si="1"/>
        <v>-1458.0131520833238</v>
      </c>
      <c r="F27" s="16"/>
      <c r="G27" s="16"/>
      <c r="H27" s="16"/>
      <c r="I27" s="16"/>
    </row>
    <row r="28" spans="2:9" x14ac:dyDescent="0.3">
      <c r="B28" t="s">
        <v>21</v>
      </c>
      <c r="C28" s="9">
        <v>0</v>
      </c>
      <c r="D28" s="9">
        <v>0</v>
      </c>
      <c r="E28" s="15">
        <f t="shared" si="1"/>
        <v>0</v>
      </c>
      <c r="F28" s="16"/>
      <c r="G28" s="16"/>
      <c r="H28" s="16"/>
      <c r="I28" s="16"/>
    </row>
    <row r="29" spans="2:9" x14ac:dyDescent="0.3">
      <c r="B29" t="s">
        <v>22</v>
      </c>
      <c r="C29" s="9">
        <v>3394707.345880527</v>
      </c>
      <c r="D29" s="9">
        <v>2904458.8945365585</v>
      </c>
      <c r="E29" s="15">
        <f t="shared" si="1"/>
        <v>-490248.45134396851</v>
      </c>
      <c r="F29" s="16" t="s">
        <v>107</v>
      </c>
      <c r="G29" s="16"/>
      <c r="H29" s="16"/>
      <c r="I29" s="16"/>
    </row>
    <row r="30" spans="2:9" ht="16.2" x14ac:dyDescent="0.45">
      <c r="B30" s="6" t="s">
        <v>7</v>
      </c>
      <c r="C30" s="10">
        <v>3732229.0803522179</v>
      </c>
      <c r="D30" s="10">
        <v>3199586.1352465726</v>
      </c>
      <c r="E30" s="17">
        <f t="shared" si="1"/>
        <v>-532642.94510564534</v>
      </c>
      <c r="F30" s="16"/>
      <c r="G30" s="16"/>
      <c r="H30" s="16"/>
      <c r="I30" s="16"/>
    </row>
    <row r="31" spans="2:9" x14ac:dyDescent="0.3">
      <c r="C31" s="9"/>
      <c r="D31" s="9"/>
      <c r="E31" s="15"/>
      <c r="F31" s="16"/>
      <c r="G31" s="16"/>
      <c r="H31" s="16"/>
      <c r="I31" s="16"/>
    </row>
    <row r="32" spans="2:9" x14ac:dyDescent="0.3">
      <c r="B32" s="2" t="s">
        <v>23</v>
      </c>
      <c r="C32" s="4" t="s">
        <v>48</v>
      </c>
      <c r="D32" s="4" t="str">
        <f>+D22</f>
        <v>Q3 2025</v>
      </c>
      <c r="E32" s="18" t="s">
        <v>29</v>
      </c>
      <c r="F32" s="19" t="s">
        <v>30</v>
      </c>
      <c r="G32" s="16"/>
      <c r="H32" s="16"/>
      <c r="I32" s="16"/>
    </row>
    <row r="33" spans="2:9" x14ac:dyDescent="0.3">
      <c r="B33" t="s">
        <v>12</v>
      </c>
      <c r="C33" s="9">
        <v>828777.06673214363</v>
      </c>
      <c r="D33" s="9">
        <v>932580.43675149139</v>
      </c>
      <c r="E33" s="15">
        <f>+D33-C33</f>
        <v>103803.37001934776</v>
      </c>
      <c r="F33" s="16"/>
      <c r="G33" s="16"/>
      <c r="H33" s="16"/>
      <c r="I33" s="16"/>
    </row>
    <row r="34" spans="2:9" x14ac:dyDescent="0.3">
      <c r="B34" t="s">
        <v>14</v>
      </c>
      <c r="C34" s="9">
        <v>612125.43533381005</v>
      </c>
      <c r="D34" s="9">
        <v>583069.62623342767</v>
      </c>
      <c r="E34" s="15">
        <f>+D34-C34</f>
        <v>-29055.809100382379</v>
      </c>
      <c r="F34" s="16"/>
      <c r="G34" s="16"/>
      <c r="H34" s="16"/>
      <c r="I34" s="16"/>
    </row>
    <row r="35" spans="2:9" ht="16.2" x14ac:dyDescent="0.45">
      <c r="B35" s="6" t="s">
        <v>7</v>
      </c>
      <c r="C35" s="10">
        <v>1146833.3515850455</v>
      </c>
      <c r="D35" s="10">
        <v>1217191.9008078557</v>
      </c>
      <c r="E35" s="17">
        <f>+D35-C35</f>
        <v>70358.549222810194</v>
      </c>
      <c r="F35" s="16"/>
      <c r="G35" s="16"/>
      <c r="H35" s="16"/>
      <c r="I35" s="16"/>
    </row>
    <row r="36" spans="2:9" x14ac:dyDescent="0.3">
      <c r="B36" s="3"/>
      <c r="C36" s="9"/>
      <c r="D36" s="9"/>
      <c r="E36" s="15"/>
      <c r="F36" s="16"/>
      <c r="G36" s="16"/>
      <c r="H36" s="16"/>
      <c r="I36" s="16"/>
    </row>
    <row r="37" spans="2:9" x14ac:dyDescent="0.3">
      <c r="B37" s="3"/>
      <c r="C37" s="9"/>
      <c r="D37" s="9"/>
      <c r="E37" s="15"/>
      <c r="F37" s="16"/>
      <c r="G37" s="16"/>
      <c r="H37" s="16"/>
      <c r="I37" s="16"/>
    </row>
    <row r="38" spans="2:9" x14ac:dyDescent="0.3">
      <c r="C38" s="12"/>
      <c r="D38" s="12"/>
      <c r="E38" s="21"/>
      <c r="F38" s="16"/>
      <c r="G38" s="16"/>
      <c r="H38" s="16"/>
      <c r="I38" s="16"/>
    </row>
    <row r="39" spans="2:9" x14ac:dyDescent="0.3">
      <c r="B39" s="5" t="s">
        <v>79</v>
      </c>
      <c r="C39" s="12"/>
      <c r="D39" s="12"/>
      <c r="E39" s="21"/>
      <c r="F39" s="16"/>
      <c r="G39" s="16"/>
      <c r="H39" s="16"/>
      <c r="I39" s="16"/>
    </row>
    <row r="40" spans="2:9" x14ac:dyDescent="0.3">
      <c r="B40" s="4" t="s">
        <v>24</v>
      </c>
      <c r="C40" s="4" t="s">
        <v>48</v>
      </c>
      <c r="D40" s="4" t="str">
        <f>+D32</f>
        <v>Q3 2025</v>
      </c>
      <c r="E40" s="18" t="s">
        <v>29</v>
      </c>
      <c r="F40" s="19" t="s">
        <v>30</v>
      </c>
      <c r="G40" s="16"/>
      <c r="H40" s="16"/>
      <c r="I40" s="16"/>
    </row>
    <row r="41" spans="2:9" x14ac:dyDescent="0.3">
      <c r="B41" t="s">
        <v>32</v>
      </c>
      <c r="C41" s="12">
        <v>5427000.6090313494</v>
      </c>
      <c r="D41" s="12">
        <f>+D9</f>
        <v>6970573.2623658096</v>
      </c>
      <c r="E41" s="21">
        <f t="shared" ref="E41:E46" si="2">+D41-C41</f>
        <v>1543572.6533344602</v>
      </c>
      <c r="F41" s="16"/>
      <c r="G41" s="16"/>
      <c r="H41" s="16"/>
      <c r="I41" s="16"/>
    </row>
    <row r="42" spans="2:9" x14ac:dyDescent="0.3">
      <c r="B42" t="s">
        <v>33</v>
      </c>
      <c r="C42" s="12">
        <v>18369372.131720588</v>
      </c>
      <c r="D42" s="12">
        <f>+D14</f>
        <v>18611543.165571716</v>
      </c>
      <c r="E42" s="21">
        <f t="shared" si="2"/>
        <v>242171.03385112807</v>
      </c>
      <c r="F42" s="16"/>
      <c r="G42" s="16"/>
      <c r="H42" s="16"/>
      <c r="I42" s="16"/>
    </row>
    <row r="43" spans="2:9" x14ac:dyDescent="0.3">
      <c r="B43" t="s">
        <v>34</v>
      </c>
      <c r="C43" s="12">
        <v>3732229.0803522179</v>
      </c>
      <c r="D43" s="12">
        <f>+D30</f>
        <v>3199586.1352465726</v>
      </c>
      <c r="E43" s="21">
        <f t="shared" si="2"/>
        <v>-532642.94510564534</v>
      </c>
      <c r="F43" s="16"/>
      <c r="G43" s="16"/>
      <c r="H43" s="16"/>
      <c r="I43" s="16"/>
    </row>
    <row r="44" spans="2:9" x14ac:dyDescent="0.3">
      <c r="B44" t="s">
        <v>35</v>
      </c>
      <c r="C44" s="12">
        <v>1146833.3515850455</v>
      </c>
      <c r="D44" s="12">
        <f>+D35</f>
        <v>1217191.9008078557</v>
      </c>
      <c r="E44" s="21">
        <f t="shared" si="2"/>
        <v>70358.549222810194</v>
      </c>
      <c r="F44" s="16"/>
      <c r="G44" s="16"/>
      <c r="H44" s="16"/>
      <c r="I44" s="16"/>
    </row>
    <row r="45" spans="2:9" x14ac:dyDescent="0.3">
      <c r="B45" t="s">
        <v>36</v>
      </c>
      <c r="C45" s="12">
        <v>8599766.9123975802</v>
      </c>
      <c r="D45" s="12">
        <f>+D20</f>
        <v>8592091.0732393526</v>
      </c>
      <c r="E45" s="21">
        <f t="shared" si="2"/>
        <v>-7675.8391582276672</v>
      </c>
      <c r="F45" s="16"/>
      <c r="G45" s="16"/>
      <c r="H45" s="16"/>
      <c r="I45" s="16"/>
    </row>
    <row r="46" spans="2:9" ht="16.2" x14ac:dyDescent="0.45">
      <c r="B46" s="6" t="s">
        <v>38</v>
      </c>
      <c r="C46" s="13">
        <v>27339204.851371091</v>
      </c>
      <c r="D46" s="13">
        <v>28172476.354546968</v>
      </c>
      <c r="E46" s="22">
        <f t="shared" si="2"/>
        <v>833271.50317587703</v>
      </c>
      <c r="F46" s="16" t="s">
        <v>108</v>
      </c>
      <c r="G46" s="16"/>
      <c r="H46" s="16"/>
      <c r="I46" s="16"/>
    </row>
    <row r="47" spans="2:9" x14ac:dyDescent="0.3">
      <c r="C47" s="12"/>
      <c r="D47" s="12"/>
      <c r="E47" s="21"/>
      <c r="F47" s="16"/>
      <c r="G47" s="16"/>
      <c r="H47" s="16"/>
      <c r="I47" s="16"/>
    </row>
    <row r="48" spans="2:9" x14ac:dyDescent="0.3">
      <c r="C48" s="12"/>
      <c r="D48" s="12"/>
      <c r="E48" s="21"/>
      <c r="F48" s="16"/>
      <c r="G48" s="16"/>
      <c r="H48" s="16"/>
      <c r="I48" s="16"/>
    </row>
    <row r="49" spans="2:9" x14ac:dyDescent="0.3">
      <c r="B49" t="s">
        <v>25</v>
      </c>
      <c r="C49" s="9">
        <v>6411779.0633411547</v>
      </c>
      <c r="D49" s="9">
        <v>6386656.9884347646</v>
      </c>
      <c r="E49" s="15">
        <f>+D49-C49</f>
        <v>-25122.07490639016</v>
      </c>
      <c r="F49" s="16"/>
      <c r="G49" s="16"/>
      <c r="H49" s="16"/>
      <c r="I49" s="16"/>
    </row>
    <row r="50" spans="2:9" x14ac:dyDescent="0.3">
      <c r="B50" t="s">
        <v>26</v>
      </c>
      <c r="C50" s="9">
        <v>-8056359.8604418123</v>
      </c>
      <c r="D50" s="9">
        <v>-8249265.1289697392</v>
      </c>
      <c r="E50" s="15">
        <f>+D50-C50</f>
        <v>-192905.26852792688</v>
      </c>
      <c r="F50" s="16" t="s">
        <v>109</v>
      </c>
      <c r="G50" s="16"/>
      <c r="H50" s="16"/>
      <c r="I50" s="16"/>
    </row>
    <row r="51" spans="2:9" x14ac:dyDescent="0.3">
      <c r="B51" s="6" t="s">
        <v>27</v>
      </c>
      <c r="C51" s="14">
        <f>+C46+C49+C50</f>
        <v>25694624.054270431</v>
      </c>
      <c r="D51" s="14">
        <f>+D46+D49+D50</f>
        <v>26309868.214011993</v>
      </c>
      <c r="E51" s="23">
        <f>+D51-C51</f>
        <v>615244.15974156186</v>
      </c>
      <c r="F51" s="16"/>
      <c r="G51" s="16"/>
      <c r="H51" s="16"/>
      <c r="I51" s="16"/>
    </row>
    <row r="52" spans="2:9" x14ac:dyDescent="0.3">
      <c r="C52" s="9"/>
      <c r="D52" s="9"/>
      <c r="E52" s="15"/>
      <c r="F52" s="16"/>
      <c r="G52" s="16"/>
      <c r="H52" s="16"/>
      <c r="I52" s="16"/>
    </row>
    <row r="53" spans="2:9" x14ac:dyDescent="0.3">
      <c r="B53" t="s">
        <v>31</v>
      </c>
      <c r="C53" s="9">
        <v>61494211.290179551</v>
      </c>
      <c r="D53" s="9">
        <v>57679916.90625751</v>
      </c>
      <c r="E53" s="15">
        <f>+D53-C53</f>
        <v>-3814294.3839220405</v>
      </c>
      <c r="F53" s="16" t="s">
        <v>110</v>
      </c>
      <c r="G53" s="16"/>
      <c r="H53" s="16"/>
      <c r="I53" s="16"/>
    </row>
    <row r="54" spans="2:9" x14ac:dyDescent="0.3">
      <c r="E54" s="16"/>
      <c r="F54" s="16"/>
      <c r="G54" s="16"/>
      <c r="H54" s="16"/>
      <c r="I54" s="16"/>
    </row>
    <row r="55" spans="2:9" x14ac:dyDescent="0.3">
      <c r="B55" s="7" t="s">
        <v>37</v>
      </c>
      <c r="C55" s="8">
        <f>+C53/C51</f>
        <v>2.3932714936904964</v>
      </c>
      <c r="D55" s="8">
        <f>+D53/D51</f>
        <v>2.1923301339661823</v>
      </c>
      <c r="E55" s="53">
        <f>+D55-C55</f>
        <v>-0.20094135972431415</v>
      </c>
      <c r="F55" s="16"/>
      <c r="G55" s="16"/>
      <c r="H55" s="16"/>
      <c r="I55" s="16"/>
    </row>
    <row r="56" spans="2:9" x14ac:dyDescent="0.3">
      <c r="E56" s="16"/>
      <c r="F56" s="16"/>
      <c r="G56" s="16"/>
      <c r="H56" s="16"/>
      <c r="I56" s="16"/>
    </row>
    <row r="58" spans="2:9" x14ac:dyDescent="0.3">
      <c r="D58" s="26"/>
    </row>
    <row r="59" spans="2:9" x14ac:dyDescent="0.3">
      <c r="D59" s="26"/>
    </row>
    <row r="60" spans="2:9" x14ac:dyDescent="0.3">
      <c r="D60" s="27"/>
    </row>
    <row r="64" spans="2:9" x14ac:dyDescent="0.3">
      <c r="B64" s="4" t="s">
        <v>81</v>
      </c>
      <c r="C64" s="11">
        <f>+C51</f>
        <v>25694624.054270431</v>
      </c>
    </row>
    <row r="65" spans="2:3" x14ac:dyDescent="0.3">
      <c r="B65" t="s">
        <v>40</v>
      </c>
      <c r="C65" s="12">
        <f>+E41</f>
        <v>1543572.6533344602</v>
      </c>
    </row>
    <row r="66" spans="2:3" x14ac:dyDescent="0.3">
      <c r="B66" t="s">
        <v>41</v>
      </c>
      <c r="C66" s="12">
        <f>+E42</f>
        <v>242171.03385112807</v>
      </c>
    </row>
    <row r="67" spans="2:3" x14ac:dyDescent="0.3">
      <c r="B67" t="s">
        <v>42</v>
      </c>
      <c r="C67" s="12">
        <f>+E43</f>
        <v>-532642.94510564534</v>
      </c>
    </row>
    <row r="68" spans="2:3" x14ac:dyDescent="0.3">
      <c r="B68" t="s">
        <v>43</v>
      </c>
      <c r="C68" s="12">
        <f>+E44</f>
        <v>70358.549222810194</v>
      </c>
    </row>
    <row r="69" spans="2:3" x14ac:dyDescent="0.3">
      <c r="B69" t="s">
        <v>44</v>
      </c>
      <c r="C69" s="12">
        <f>+E45</f>
        <v>-7675.8391582276672</v>
      </c>
    </row>
    <row r="70" spans="2:3" x14ac:dyDescent="0.3">
      <c r="B70" t="s">
        <v>45</v>
      </c>
      <c r="C70" s="12">
        <f>-SUM(E41:E45)+E46</f>
        <v>-482511.94896864844</v>
      </c>
    </row>
    <row r="71" spans="2:3" x14ac:dyDescent="0.3">
      <c r="B71" t="s">
        <v>46</v>
      </c>
      <c r="C71" s="12">
        <f>+E49</f>
        <v>-25122.07490639016</v>
      </c>
    </row>
    <row r="72" spans="2:3" x14ac:dyDescent="0.3">
      <c r="B72" t="s">
        <v>47</v>
      </c>
      <c r="C72" s="12">
        <f>+E50</f>
        <v>-192905.26852792688</v>
      </c>
    </row>
    <row r="73" spans="2:3" x14ac:dyDescent="0.3">
      <c r="B73" s="4" t="s">
        <v>111</v>
      </c>
      <c r="C73" s="11">
        <f>+SUM(C64:C72)</f>
        <v>26309868.21401199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4E41-17A1-46AE-A5A3-2B4C3E763A19}">
  <dimension ref="B1:I73"/>
  <sheetViews>
    <sheetView topLeftCell="A27" workbookViewId="0">
      <selection activeCell="C70" sqref="C70"/>
    </sheetView>
  </sheetViews>
  <sheetFormatPr defaultRowHeight="14.4" x14ac:dyDescent="0.3"/>
  <cols>
    <col min="1" max="1" width="4.33203125" customWidth="1"/>
    <col min="2" max="2" width="22.77734375" customWidth="1"/>
    <col min="3" max="3" width="13.88671875" bestFit="1" customWidth="1"/>
    <col min="4" max="4" width="17.77734375" bestFit="1" customWidth="1"/>
    <col min="5" max="5" width="13.88671875" bestFit="1" customWidth="1"/>
    <col min="6" max="6" width="40.77734375" customWidth="1"/>
  </cols>
  <sheetData>
    <row r="1" spans="2:9" x14ac:dyDescent="0.3">
      <c r="B1" s="5" t="s">
        <v>80</v>
      </c>
    </row>
    <row r="2" spans="2:9" x14ac:dyDescent="0.3">
      <c r="B2" s="2" t="s">
        <v>0</v>
      </c>
      <c r="C2" s="4" t="s">
        <v>98</v>
      </c>
      <c r="D2" s="4" t="s">
        <v>112</v>
      </c>
      <c r="E2" s="4" t="s">
        <v>29</v>
      </c>
      <c r="F2" s="4" t="s">
        <v>30</v>
      </c>
    </row>
    <row r="3" spans="2:9" x14ac:dyDescent="0.3">
      <c r="B3" t="s">
        <v>1</v>
      </c>
      <c r="C3" s="9">
        <v>6099.9560149312019</v>
      </c>
      <c r="D3" s="9">
        <v>138617.59746289253</v>
      </c>
      <c r="E3" s="15">
        <v>132517.64144796133</v>
      </c>
      <c r="F3" s="16"/>
      <c r="G3" s="16"/>
      <c r="H3" s="16"/>
      <c r="I3" s="16"/>
    </row>
    <row r="4" spans="2:9" x14ac:dyDescent="0.3">
      <c r="B4" t="s">
        <v>2</v>
      </c>
      <c r="C4" s="9">
        <v>660437.72398853616</v>
      </c>
      <c r="D4" s="9">
        <v>706595.50659242494</v>
      </c>
      <c r="E4" s="15">
        <v>46157.782603888772</v>
      </c>
      <c r="F4" s="16"/>
      <c r="G4" s="16"/>
      <c r="H4" s="16"/>
      <c r="I4" s="16"/>
    </row>
    <row r="5" spans="2:9" x14ac:dyDescent="0.3">
      <c r="B5" t="s">
        <v>3</v>
      </c>
      <c r="C5" s="9">
        <v>0</v>
      </c>
      <c r="D5" s="9">
        <v>0</v>
      </c>
      <c r="E5" s="15">
        <v>0</v>
      </c>
      <c r="F5" s="16"/>
      <c r="G5" s="16"/>
      <c r="H5" s="16"/>
      <c r="I5" s="16"/>
    </row>
    <row r="6" spans="2:9" x14ac:dyDescent="0.3">
      <c r="B6" t="s">
        <v>4</v>
      </c>
      <c r="C6" s="9">
        <v>130552.54933149993</v>
      </c>
      <c r="D6" s="9">
        <v>112147.88479451364</v>
      </c>
      <c r="E6" s="15">
        <v>-18404.664536986296</v>
      </c>
      <c r="F6" s="16"/>
      <c r="G6" s="16"/>
      <c r="H6" s="16"/>
      <c r="I6" s="16"/>
    </row>
    <row r="7" spans="2:9" x14ac:dyDescent="0.3">
      <c r="B7" t="s">
        <v>5</v>
      </c>
      <c r="C7" s="9">
        <v>6722201.4352612402</v>
      </c>
      <c r="D7" s="9">
        <v>7468117.7702640695</v>
      </c>
      <c r="E7" s="15">
        <v>745916.33500282932</v>
      </c>
      <c r="F7" s="16" t="s">
        <v>113</v>
      </c>
      <c r="G7" s="16"/>
      <c r="H7" s="16"/>
      <c r="I7" s="16"/>
    </row>
    <row r="8" spans="2:9" x14ac:dyDescent="0.3">
      <c r="B8" t="s">
        <v>6</v>
      </c>
      <c r="C8" s="9">
        <v>366581.52489133563</v>
      </c>
      <c r="D8" s="9">
        <v>365904.47693588561</v>
      </c>
      <c r="E8" s="15">
        <v>-677.0479554500198</v>
      </c>
      <c r="F8" s="16"/>
      <c r="G8" s="16"/>
      <c r="H8" s="16"/>
      <c r="I8" s="16"/>
    </row>
    <row r="9" spans="2:9" ht="16.2" x14ac:dyDescent="0.45">
      <c r="B9" s="6" t="s">
        <v>7</v>
      </c>
      <c r="C9" s="10">
        <v>6970573.2623658096</v>
      </c>
      <c r="D9" s="10">
        <v>7761761.246576271</v>
      </c>
      <c r="E9" s="17">
        <v>791187.98421046138</v>
      </c>
      <c r="F9" s="16"/>
      <c r="G9" s="16"/>
      <c r="H9" s="16"/>
      <c r="I9" s="16"/>
    </row>
    <row r="10" spans="2:9" x14ac:dyDescent="0.3">
      <c r="C10" s="9"/>
      <c r="D10" s="9"/>
      <c r="E10" s="15"/>
      <c r="F10" s="16"/>
      <c r="G10" s="16"/>
      <c r="H10" s="16"/>
      <c r="I10" s="16"/>
    </row>
    <row r="11" spans="2:9" x14ac:dyDescent="0.3">
      <c r="B11" s="2" t="s">
        <v>8</v>
      </c>
      <c r="C11" s="4" t="s">
        <v>98</v>
      </c>
      <c r="D11" s="4" t="s">
        <v>112</v>
      </c>
      <c r="E11" s="18" t="s">
        <v>29</v>
      </c>
      <c r="F11" s="19" t="s">
        <v>30</v>
      </c>
      <c r="G11" s="16"/>
      <c r="H11" s="16"/>
      <c r="I11" s="16"/>
    </row>
    <row r="12" spans="2:9" x14ac:dyDescent="0.3">
      <c r="B12" t="s">
        <v>9</v>
      </c>
      <c r="C12" s="9">
        <v>8399881.5257690214</v>
      </c>
      <c r="D12" s="9">
        <v>7424530.1133035319</v>
      </c>
      <c r="E12" s="15">
        <v>-975351.41246548947</v>
      </c>
      <c r="F12" s="16" t="s">
        <v>114</v>
      </c>
      <c r="G12" s="16"/>
      <c r="H12" s="16"/>
      <c r="I12" s="16"/>
    </row>
    <row r="13" spans="2:9" x14ac:dyDescent="0.3">
      <c r="B13" t="s">
        <v>10</v>
      </c>
      <c r="C13" s="9">
        <v>11462983.039431581</v>
      </c>
      <c r="D13" s="9">
        <v>8753816.7991649397</v>
      </c>
      <c r="E13" s="15">
        <v>-2709166.2402666416</v>
      </c>
      <c r="F13" s="25" t="s">
        <v>115</v>
      </c>
      <c r="G13" s="16"/>
      <c r="H13" s="16"/>
      <c r="I13" s="16"/>
    </row>
    <row r="14" spans="2:9" ht="16.2" x14ac:dyDescent="0.45">
      <c r="B14" s="6" t="s">
        <v>7</v>
      </c>
      <c r="C14" s="10">
        <v>18611543.165571716</v>
      </c>
      <c r="D14" s="10">
        <v>15140753.633961122</v>
      </c>
      <c r="E14" s="17">
        <v>-3470789.5316105932</v>
      </c>
      <c r="F14" s="16"/>
      <c r="G14" s="16"/>
      <c r="H14" s="16"/>
      <c r="I14" s="16"/>
    </row>
    <row r="15" spans="2:9" x14ac:dyDescent="0.3">
      <c r="C15" s="1"/>
      <c r="D15" s="1"/>
      <c r="E15" s="20"/>
      <c r="F15" s="16"/>
      <c r="G15" s="16"/>
      <c r="H15" s="16"/>
      <c r="I15" s="16"/>
    </row>
    <row r="16" spans="2:9" x14ac:dyDescent="0.3">
      <c r="B16" s="2" t="s">
        <v>11</v>
      </c>
      <c r="C16" s="4" t="s">
        <v>98</v>
      </c>
      <c r="D16" s="4" t="s">
        <v>112</v>
      </c>
      <c r="E16" s="19" t="s">
        <v>29</v>
      </c>
      <c r="F16" s="19" t="s">
        <v>30</v>
      </c>
      <c r="G16" s="16"/>
      <c r="H16" s="16"/>
      <c r="I16" s="16"/>
    </row>
    <row r="17" spans="2:9" x14ac:dyDescent="0.3">
      <c r="B17" t="s">
        <v>12</v>
      </c>
      <c r="C17" s="9">
        <v>6880373.5150640905</v>
      </c>
      <c r="D17" s="9">
        <v>5642399.4760094881</v>
      </c>
      <c r="E17" s="15">
        <v>-1237974.0390546024</v>
      </c>
      <c r="F17" s="16" t="s">
        <v>116</v>
      </c>
      <c r="G17" s="16"/>
      <c r="H17" s="16"/>
      <c r="I17" s="16"/>
    </row>
    <row r="18" spans="2:9" x14ac:dyDescent="0.3">
      <c r="B18" t="s">
        <v>13</v>
      </c>
      <c r="C18" s="9">
        <v>1154593.7890739921</v>
      </c>
      <c r="D18" s="9">
        <v>768572.64078177814</v>
      </c>
      <c r="E18" s="15">
        <v>-386021.14829221391</v>
      </c>
      <c r="F18" s="16" t="s">
        <v>117</v>
      </c>
      <c r="G18" s="16"/>
      <c r="H18" s="16"/>
      <c r="I18" s="16"/>
    </row>
    <row r="19" spans="2:9" x14ac:dyDescent="0.3">
      <c r="B19" t="s">
        <v>14</v>
      </c>
      <c r="C19" s="9">
        <v>3581804.7452977025</v>
      </c>
      <c r="D19" s="9">
        <v>3580571.8365085619</v>
      </c>
      <c r="E19" s="15">
        <v>-1232.908789140638</v>
      </c>
      <c r="F19" s="16"/>
      <c r="G19" s="16"/>
      <c r="H19" s="16"/>
      <c r="I19" s="16"/>
    </row>
    <row r="20" spans="2:9" ht="16.2" x14ac:dyDescent="0.45">
      <c r="B20" s="6" t="s">
        <v>7</v>
      </c>
      <c r="C20" s="10">
        <v>8592091.0732393526</v>
      </c>
      <c r="D20" s="10">
        <v>7439716.3087374391</v>
      </c>
      <c r="E20" s="17">
        <v>-1152374.7645019135</v>
      </c>
      <c r="F20" s="16"/>
      <c r="G20" s="16"/>
      <c r="H20" s="16"/>
      <c r="I20" s="16"/>
    </row>
    <row r="21" spans="2:9" x14ac:dyDescent="0.3">
      <c r="C21" s="9"/>
      <c r="D21" s="9"/>
      <c r="E21" s="15"/>
      <c r="F21" s="16"/>
      <c r="G21" s="16"/>
      <c r="H21" s="16"/>
      <c r="I21" s="16"/>
    </row>
    <row r="22" spans="2:9" x14ac:dyDescent="0.3">
      <c r="B22" s="2" t="s">
        <v>15</v>
      </c>
      <c r="C22" s="4" t="s">
        <v>98</v>
      </c>
      <c r="D22" s="4" t="s">
        <v>112</v>
      </c>
      <c r="E22" s="18" t="s">
        <v>29</v>
      </c>
      <c r="F22" s="19" t="s">
        <v>30</v>
      </c>
      <c r="G22" s="16"/>
      <c r="H22" s="16"/>
      <c r="I22" s="16"/>
    </row>
    <row r="23" spans="2:9" x14ac:dyDescent="0.3">
      <c r="B23" t="s">
        <v>16</v>
      </c>
      <c r="C23" s="9">
        <v>465008.74869865132</v>
      </c>
      <c r="D23" s="9">
        <v>553532.78777542431</v>
      </c>
      <c r="E23" s="15">
        <v>88524.039076772984</v>
      </c>
      <c r="F23" s="16"/>
      <c r="G23" s="16"/>
      <c r="H23" s="16"/>
      <c r="I23" s="16"/>
    </row>
    <row r="24" spans="2:9" x14ac:dyDescent="0.3">
      <c r="B24" t="s">
        <v>17</v>
      </c>
      <c r="C24" s="9">
        <v>0</v>
      </c>
      <c r="D24" s="9">
        <v>0</v>
      </c>
      <c r="E24" s="15">
        <v>0</v>
      </c>
      <c r="F24" s="16"/>
      <c r="G24" s="16"/>
      <c r="H24" s="16"/>
      <c r="I24" s="16"/>
    </row>
    <row r="25" spans="2:9" x14ac:dyDescent="0.3">
      <c r="B25" t="s">
        <v>18</v>
      </c>
      <c r="C25" s="9">
        <v>201243.57713569188</v>
      </c>
      <c r="D25" s="9">
        <v>132937.64808135224</v>
      </c>
      <c r="E25" s="15">
        <v>-68305.929054339649</v>
      </c>
      <c r="F25" s="16"/>
      <c r="G25" s="16"/>
      <c r="H25" s="16"/>
      <c r="I25" s="16"/>
    </row>
    <row r="26" spans="2:9" x14ac:dyDescent="0.3">
      <c r="B26" t="s">
        <v>19</v>
      </c>
      <c r="C26" s="9">
        <v>280298.83697212086</v>
      </c>
      <c r="D26" s="9">
        <v>264632.13784278854</v>
      </c>
      <c r="E26" s="15">
        <v>-15666.699129332323</v>
      </c>
      <c r="F26" s="16"/>
      <c r="G26" s="16"/>
      <c r="H26" s="16"/>
      <c r="I26" s="16"/>
    </row>
    <row r="27" spans="2:9" x14ac:dyDescent="0.3">
      <c r="B27" t="s">
        <v>20</v>
      </c>
      <c r="C27" s="9">
        <v>20473.731247671996</v>
      </c>
      <c r="D27" s="9">
        <v>17808.911590014148</v>
      </c>
      <c r="E27" s="15">
        <v>-2664.8196576578484</v>
      </c>
      <c r="F27" s="16"/>
      <c r="G27" s="16"/>
      <c r="H27" s="16"/>
      <c r="I27" s="16"/>
    </row>
    <row r="28" spans="2:9" x14ac:dyDescent="0.3">
      <c r="B28" t="s">
        <v>21</v>
      </c>
      <c r="C28" s="9">
        <v>0</v>
      </c>
      <c r="D28" s="9">
        <v>0</v>
      </c>
      <c r="E28" s="15">
        <v>0</v>
      </c>
      <c r="F28" s="16"/>
      <c r="G28" s="16"/>
      <c r="H28" s="16"/>
      <c r="I28" s="16"/>
    </row>
    <row r="29" spans="2:9" x14ac:dyDescent="0.3">
      <c r="B29" t="s">
        <v>22</v>
      </c>
      <c r="C29" s="9">
        <v>2904458.8945365585</v>
      </c>
      <c r="D29" s="9">
        <v>2878720.369634524</v>
      </c>
      <c r="E29" s="15">
        <v>-25738.524902034551</v>
      </c>
      <c r="F29" s="16"/>
      <c r="G29" s="16"/>
      <c r="H29" s="16"/>
      <c r="I29" s="16"/>
    </row>
    <row r="30" spans="2:9" ht="16.2" x14ac:dyDescent="0.45">
      <c r="B30" s="6" t="s">
        <v>7</v>
      </c>
      <c r="C30" s="10">
        <v>3199586.1352465726</v>
      </c>
      <c r="D30" s="10">
        <v>3181959.1039322638</v>
      </c>
      <c r="E30" s="17">
        <v>-17627.031314308755</v>
      </c>
      <c r="F30" s="16"/>
      <c r="G30" s="16"/>
      <c r="H30" s="16"/>
      <c r="I30" s="16"/>
    </row>
    <row r="31" spans="2:9" x14ac:dyDescent="0.3">
      <c r="C31" s="9"/>
      <c r="D31" s="9"/>
      <c r="E31" s="15"/>
      <c r="F31" s="16"/>
      <c r="G31" s="16"/>
      <c r="H31" s="16"/>
      <c r="I31" s="16"/>
    </row>
    <row r="32" spans="2:9" x14ac:dyDescent="0.3">
      <c r="B32" s="2" t="s">
        <v>23</v>
      </c>
      <c r="C32" s="4" t="s">
        <v>98</v>
      </c>
      <c r="D32" s="4" t="s">
        <v>112</v>
      </c>
      <c r="E32" s="18" t="s">
        <v>29</v>
      </c>
      <c r="F32" s="19" t="s">
        <v>30</v>
      </c>
      <c r="G32" s="16"/>
      <c r="H32" s="16"/>
      <c r="I32" s="16"/>
    </row>
    <row r="33" spans="2:9" x14ac:dyDescent="0.3">
      <c r="B33" t="s">
        <v>12</v>
      </c>
      <c r="C33" s="9">
        <v>932580.43675149139</v>
      </c>
      <c r="D33" s="9">
        <v>1139420.3513247566</v>
      </c>
      <c r="E33" s="15">
        <v>206839.91457326524</v>
      </c>
      <c r="F33" s="16"/>
      <c r="G33" s="16"/>
      <c r="H33" s="16"/>
      <c r="I33" s="16"/>
    </row>
    <row r="34" spans="2:9" x14ac:dyDescent="0.3">
      <c r="B34" t="s">
        <v>14</v>
      </c>
      <c r="C34" s="9">
        <v>583069.62623342767</v>
      </c>
      <c r="D34" s="9">
        <v>673955.50708854396</v>
      </c>
      <c r="E34" s="15">
        <v>90885.880855116295</v>
      </c>
      <c r="F34" s="16"/>
      <c r="G34" s="16"/>
      <c r="H34" s="16"/>
      <c r="I34" s="16"/>
    </row>
    <row r="35" spans="2:9" ht="16.2" x14ac:dyDescent="0.45">
      <c r="B35" s="6" t="s">
        <v>7</v>
      </c>
      <c r="C35" s="10">
        <v>1217191.9008078557</v>
      </c>
      <c r="D35" s="10">
        <v>1461661.4084253747</v>
      </c>
      <c r="E35" s="17">
        <v>244469.507617519</v>
      </c>
      <c r="F35" s="16"/>
      <c r="G35" s="16"/>
      <c r="H35" s="16"/>
      <c r="I35" s="16"/>
    </row>
    <row r="36" spans="2:9" x14ac:dyDescent="0.3">
      <c r="B36" s="3"/>
      <c r="C36" s="9"/>
      <c r="D36" s="9"/>
      <c r="E36" s="15"/>
      <c r="F36" s="16"/>
      <c r="G36" s="16"/>
      <c r="H36" s="16"/>
      <c r="I36" s="16"/>
    </row>
    <row r="37" spans="2:9" x14ac:dyDescent="0.3">
      <c r="B37" s="3"/>
      <c r="C37" s="9"/>
      <c r="D37" s="9"/>
      <c r="E37" s="15"/>
      <c r="F37" s="16"/>
      <c r="G37" s="16"/>
      <c r="H37" s="16"/>
      <c r="I37" s="16"/>
    </row>
    <row r="38" spans="2:9" x14ac:dyDescent="0.3">
      <c r="C38" s="12"/>
      <c r="D38" s="12"/>
      <c r="E38" s="21"/>
      <c r="F38" s="16"/>
      <c r="G38" s="16"/>
      <c r="H38" s="16"/>
      <c r="I38" s="16"/>
    </row>
    <row r="39" spans="2:9" x14ac:dyDescent="0.3">
      <c r="B39" s="5" t="s">
        <v>79</v>
      </c>
      <c r="C39" s="12"/>
      <c r="D39" s="12"/>
      <c r="E39" s="21"/>
      <c r="F39" s="16"/>
      <c r="G39" s="16"/>
      <c r="H39" s="16"/>
      <c r="I39" s="16"/>
    </row>
    <row r="40" spans="2:9" x14ac:dyDescent="0.3">
      <c r="B40" s="4" t="s">
        <v>24</v>
      </c>
      <c r="C40" s="4" t="s">
        <v>98</v>
      </c>
      <c r="D40" s="4" t="s">
        <v>112</v>
      </c>
      <c r="E40" s="18" t="s">
        <v>29</v>
      </c>
      <c r="F40" s="19" t="s">
        <v>30</v>
      </c>
      <c r="G40" s="16"/>
      <c r="H40" s="16"/>
      <c r="I40" s="16"/>
    </row>
    <row r="41" spans="2:9" x14ac:dyDescent="0.3">
      <c r="B41" t="s">
        <v>32</v>
      </c>
      <c r="C41" s="12">
        <v>6970573.2623658096</v>
      </c>
      <c r="D41" s="12">
        <v>7761761.246576271</v>
      </c>
      <c r="E41" s="21">
        <v>791187.98421046138</v>
      </c>
      <c r="F41" s="16"/>
      <c r="G41" s="16"/>
      <c r="H41" s="16"/>
      <c r="I41" s="16"/>
    </row>
    <row r="42" spans="2:9" x14ac:dyDescent="0.3">
      <c r="B42" t="s">
        <v>33</v>
      </c>
      <c r="C42" s="12">
        <v>18611543.165571716</v>
      </c>
      <c r="D42" s="12">
        <v>15140753.633961122</v>
      </c>
      <c r="E42" s="21">
        <v>-3470789.5316105932</v>
      </c>
      <c r="F42" s="16"/>
      <c r="G42" s="16"/>
      <c r="H42" s="16"/>
      <c r="I42" s="16"/>
    </row>
    <row r="43" spans="2:9" x14ac:dyDescent="0.3">
      <c r="B43" t="s">
        <v>34</v>
      </c>
      <c r="C43" s="12">
        <v>3199586.1352465726</v>
      </c>
      <c r="D43" s="12">
        <v>3181959.1039322638</v>
      </c>
      <c r="E43" s="21">
        <v>-17627.031314308755</v>
      </c>
      <c r="F43" s="16"/>
      <c r="G43" s="16"/>
      <c r="H43" s="16"/>
      <c r="I43" s="16"/>
    </row>
    <row r="44" spans="2:9" x14ac:dyDescent="0.3">
      <c r="B44" t="s">
        <v>35</v>
      </c>
      <c r="C44" s="12">
        <v>1217191.9008078557</v>
      </c>
      <c r="D44" s="12">
        <v>1461661.4084253747</v>
      </c>
      <c r="E44" s="21">
        <v>244469.507617519</v>
      </c>
      <c r="F44" s="16"/>
      <c r="G44" s="16"/>
      <c r="H44" s="16"/>
      <c r="I44" s="16"/>
    </row>
    <row r="45" spans="2:9" x14ac:dyDescent="0.3">
      <c r="B45" t="s">
        <v>36</v>
      </c>
      <c r="C45" s="12">
        <v>8592091.0732393526</v>
      </c>
      <c r="D45" s="12">
        <v>7439716.3087374391</v>
      </c>
      <c r="E45" s="21">
        <v>-1152374.7645019135</v>
      </c>
      <c r="F45" s="16"/>
      <c r="G45" s="16"/>
      <c r="H45" s="16"/>
      <c r="I45" s="16"/>
    </row>
    <row r="46" spans="2:9" ht="16.2" x14ac:dyDescent="0.45">
      <c r="B46" s="6" t="s">
        <v>38</v>
      </c>
      <c r="C46" s="13">
        <v>28172476.354546968</v>
      </c>
      <c r="D46" s="13">
        <v>24756288.941938959</v>
      </c>
      <c r="E46" s="22">
        <v>-3416187.4126080088</v>
      </c>
      <c r="F46" s="16"/>
      <c r="G46" s="16"/>
      <c r="H46" s="16"/>
      <c r="I46" s="16"/>
    </row>
    <row r="47" spans="2:9" x14ac:dyDescent="0.3">
      <c r="C47" s="12"/>
      <c r="D47" s="12"/>
      <c r="E47" s="21"/>
      <c r="F47" s="16"/>
      <c r="G47" s="16"/>
      <c r="H47" s="16"/>
      <c r="I47" s="16"/>
    </row>
    <row r="48" spans="2:9" x14ac:dyDescent="0.3">
      <c r="C48" s="12"/>
      <c r="D48" s="12"/>
      <c r="E48" s="21"/>
      <c r="F48" s="16"/>
      <c r="G48" s="16"/>
      <c r="H48" s="16"/>
      <c r="I48" s="16"/>
    </row>
    <row r="49" spans="2:9" x14ac:dyDescent="0.3">
      <c r="B49" t="s">
        <v>25</v>
      </c>
      <c r="C49" s="9">
        <v>6386656.9884347646</v>
      </c>
      <c r="D49" s="9">
        <v>6157344.6419522902</v>
      </c>
      <c r="E49" s="15">
        <v>-229312.34648247436</v>
      </c>
      <c r="F49" s="16" t="s">
        <v>118</v>
      </c>
      <c r="G49" s="16"/>
      <c r="H49" s="16"/>
      <c r="I49" s="16"/>
    </row>
    <row r="50" spans="2:9" x14ac:dyDescent="0.3">
      <c r="B50" t="s">
        <v>26</v>
      </c>
      <c r="C50" s="9">
        <v>-8249265.1289697392</v>
      </c>
      <c r="D50" s="9">
        <v>-7379084.3364748415</v>
      </c>
      <c r="E50" s="15">
        <v>870180.79249489773</v>
      </c>
      <c r="F50" s="16" t="s">
        <v>119</v>
      </c>
      <c r="G50" s="16"/>
      <c r="H50" s="16"/>
      <c r="I50" s="16"/>
    </row>
    <row r="51" spans="2:9" x14ac:dyDescent="0.3">
      <c r="B51" s="6" t="s">
        <v>27</v>
      </c>
      <c r="C51" s="14">
        <v>26309868.214011993</v>
      </c>
      <c r="D51" s="14">
        <v>23534549.247416407</v>
      </c>
      <c r="E51" s="23">
        <v>-2775318.9665955864</v>
      </c>
      <c r="F51" s="16"/>
      <c r="G51" s="16"/>
      <c r="H51" s="16"/>
      <c r="I51" s="16"/>
    </row>
    <row r="52" spans="2:9" x14ac:dyDescent="0.3">
      <c r="C52" s="9"/>
      <c r="D52" s="9"/>
      <c r="E52" s="15"/>
      <c r="F52" s="16"/>
      <c r="G52" s="16"/>
      <c r="H52" s="16"/>
      <c r="I52" s="16"/>
    </row>
    <row r="53" spans="2:9" x14ac:dyDescent="0.3">
      <c r="B53" t="s">
        <v>31</v>
      </c>
      <c r="C53" s="9">
        <v>57679916.90625751</v>
      </c>
      <c r="D53" s="9">
        <v>55109756.563358605</v>
      </c>
      <c r="E53" s="15">
        <v>-2570160.3428989053</v>
      </c>
      <c r="F53" s="16" t="s">
        <v>120</v>
      </c>
      <c r="G53" s="16"/>
      <c r="H53" s="16"/>
      <c r="I53" s="16"/>
    </row>
    <row r="54" spans="2:9" x14ac:dyDescent="0.3">
      <c r="E54" s="16"/>
      <c r="F54" s="16"/>
      <c r="G54" s="16"/>
      <c r="H54" s="16"/>
      <c r="I54" s="16"/>
    </row>
    <row r="55" spans="2:9" x14ac:dyDescent="0.3">
      <c r="B55" s="7" t="s">
        <v>37</v>
      </c>
      <c r="C55" s="8">
        <v>2.1923301339661823</v>
      </c>
      <c r="D55" s="8">
        <v>2.3416533702853255</v>
      </c>
      <c r="E55" s="53">
        <v>0.14932323631914324</v>
      </c>
      <c r="F55" s="16"/>
      <c r="G55" s="16"/>
      <c r="H55" s="16"/>
      <c r="I55" s="16"/>
    </row>
    <row r="56" spans="2:9" x14ac:dyDescent="0.3">
      <c r="E56" s="16"/>
      <c r="F56" s="16"/>
      <c r="G56" s="16"/>
      <c r="H56" s="16"/>
      <c r="I56" s="16"/>
    </row>
    <row r="58" spans="2:9" x14ac:dyDescent="0.3">
      <c r="D58" s="26"/>
    </row>
    <row r="59" spans="2:9" x14ac:dyDescent="0.3">
      <c r="D59" s="26"/>
    </row>
    <row r="60" spans="2:9" x14ac:dyDescent="0.3">
      <c r="D60" s="27"/>
    </row>
    <row r="64" spans="2:9" x14ac:dyDescent="0.3">
      <c r="B64" s="4" t="s">
        <v>81</v>
      </c>
      <c r="C64" s="11">
        <f>+C51</f>
        <v>26309868.214011993</v>
      </c>
    </row>
    <row r="65" spans="2:3" x14ac:dyDescent="0.3">
      <c r="B65" t="s">
        <v>40</v>
      </c>
      <c r="C65" s="12">
        <f>+E41</f>
        <v>791187.98421046138</v>
      </c>
    </row>
    <row r="66" spans="2:3" x14ac:dyDescent="0.3">
      <c r="B66" t="s">
        <v>41</v>
      </c>
      <c r="C66" s="12">
        <f>+E42</f>
        <v>-3470789.5316105932</v>
      </c>
    </row>
    <row r="67" spans="2:3" x14ac:dyDescent="0.3">
      <c r="B67" t="s">
        <v>42</v>
      </c>
      <c r="C67" s="12">
        <f>+E43</f>
        <v>-17627.031314308755</v>
      </c>
    </row>
    <row r="68" spans="2:3" x14ac:dyDescent="0.3">
      <c r="B68" t="s">
        <v>43</v>
      </c>
      <c r="C68" s="12">
        <f>+E44</f>
        <v>244469.507617519</v>
      </c>
    </row>
    <row r="69" spans="2:3" x14ac:dyDescent="0.3">
      <c r="B69" t="s">
        <v>44</v>
      </c>
      <c r="C69" s="12">
        <f>+E45</f>
        <v>-1152374.7645019135</v>
      </c>
    </row>
    <row r="70" spans="2:3" x14ac:dyDescent="0.3">
      <c r="B70" t="s">
        <v>45</v>
      </c>
      <c r="C70" s="12">
        <f>-SUM(E41:E45)+E46</f>
        <v>188946.42299082596</v>
      </c>
    </row>
    <row r="71" spans="2:3" x14ac:dyDescent="0.3">
      <c r="B71" t="s">
        <v>46</v>
      </c>
      <c r="C71" s="12">
        <f>+E49</f>
        <v>-229312.34648247436</v>
      </c>
    </row>
    <row r="72" spans="2:3" x14ac:dyDescent="0.3">
      <c r="B72" t="s">
        <v>47</v>
      </c>
      <c r="C72" s="12">
        <f>+E50</f>
        <v>870180.79249489773</v>
      </c>
    </row>
    <row r="73" spans="2:3" x14ac:dyDescent="0.3">
      <c r="B73" s="4" t="s">
        <v>111</v>
      </c>
      <c r="C73" s="11">
        <f>+SUM(C64:C72)</f>
        <v>23534549.247416403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6211C-B9C2-422D-AC64-7FAFE19FC3F9}">
  <dimension ref="B1:L42"/>
  <sheetViews>
    <sheetView showGridLines="0" tabSelected="1" workbookViewId="0">
      <selection activeCell="G7" sqref="G7"/>
    </sheetView>
  </sheetViews>
  <sheetFormatPr defaultRowHeight="14.4" x14ac:dyDescent="0.3"/>
  <cols>
    <col min="2" max="2" width="25" bestFit="1" customWidth="1"/>
    <col min="3" max="3" width="14.109375" bestFit="1" customWidth="1"/>
    <col min="4" max="6" width="12.77734375" bestFit="1" customWidth="1"/>
    <col min="7" max="11" width="11.21875" bestFit="1" customWidth="1"/>
    <col min="12" max="12" width="12.5546875" customWidth="1"/>
  </cols>
  <sheetData>
    <row r="1" spans="2:12" ht="15" thickBot="1" x14ac:dyDescent="0.35"/>
    <row r="2" spans="2:12" ht="15" thickBot="1" x14ac:dyDescent="0.35">
      <c r="B2" s="32" t="s">
        <v>90</v>
      </c>
      <c r="C2" s="33" t="s">
        <v>87</v>
      </c>
      <c r="D2" s="33" t="s">
        <v>86</v>
      </c>
      <c r="E2" s="33" t="s">
        <v>85</v>
      </c>
      <c r="F2" s="33" t="s">
        <v>84</v>
      </c>
      <c r="G2" s="33" t="s">
        <v>82</v>
      </c>
      <c r="H2" s="33" t="s">
        <v>83</v>
      </c>
      <c r="I2" s="33" t="s">
        <v>28</v>
      </c>
      <c r="J2" s="33" t="s">
        <v>48</v>
      </c>
      <c r="K2" s="33" t="s">
        <v>98</v>
      </c>
      <c r="L2" s="34" t="s">
        <v>112</v>
      </c>
    </row>
    <row r="3" spans="2:12" x14ac:dyDescent="0.3">
      <c r="B3" s="35" t="s">
        <v>0</v>
      </c>
      <c r="C3" s="36" cm="1">
        <f t="array" aca="1" ref="C3" ca="1">INDIRECT("'"&amp;C$2&amp;" SCR'!D9",1)</f>
        <v>8233855.3769013602</v>
      </c>
      <c r="D3" s="36" cm="1">
        <f t="array" aca="1" ref="D3" ca="1">INDIRECT("'"&amp;D$2&amp;" SCR'!D9",1)</f>
        <v>7182534.1381265065</v>
      </c>
      <c r="E3" s="36" cm="1">
        <f t="array" aca="1" ref="E3" ca="1">INDIRECT("'"&amp;E$2&amp;" SCR'!D9",1)</f>
        <v>11082359.8851978</v>
      </c>
      <c r="F3" s="36" cm="1">
        <f t="array" aca="1" ref="F3" ca="1">INDIRECT("'"&amp;F$2&amp;" SCR'!D9",1)</f>
        <v>8308018.7032041727</v>
      </c>
      <c r="G3" s="36" cm="1">
        <f t="array" aca="1" ref="G3" ca="1">INDIRECT("'"&amp;G$2&amp;" SCR'!D9",1)</f>
        <v>6918653.5361755108</v>
      </c>
      <c r="H3" s="36" cm="1">
        <f t="array" aca="1" ref="H3" ca="1">INDIRECT("'"&amp;H$2&amp;" SCR'!D9",1)</f>
        <v>6585249.809283155</v>
      </c>
      <c r="I3" s="36" cm="1">
        <f t="array" aca="1" ref="I3" ca="1">INDIRECT("'"&amp;I$2&amp;" SCR'!D9",1)</f>
        <v>8420689.2039712258</v>
      </c>
      <c r="J3" s="36" cm="1">
        <f t="array" aca="1" ref="J3" ca="1">INDIRECT("'"&amp;J$2&amp;" SCR'!D9",1)</f>
        <v>5427000.6090313494</v>
      </c>
      <c r="K3" s="36" cm="1">
        <f t="array" aca="1" ref="K3" ca="1">INDIRECT("'"&amp;K$2&amp;" SCR'!D9",1)</f>
        <v>6970573.2623658096</v>
      </c>
      <c r="L3" s="36" cm="1">
        <f t="array" aca="1" ref="L3" ca="1">INDIRECT("'"&amp;L$2&amp;" SCR'!D9",1)</f>
        <v>7761761.246576271</v>
      </c>
    </row>
    <row r="4" spans="2:12" x14ac:dyDescent="0.3">
      <c r="B4" s="37" t="s">
        <v>91</v>
      </c>
      <c r="C4" s="38" cm="1">
        <f t="array" aca="1" ref="C4" ca="1">INDIRECT("'"&amp;C$2&amp;" SCR'!D3",1)</f>
        <v>874144.03979432583</v>
      </c>
      <c r="D4" s="38" cm="1">
        <f t="array" aca="1" ref="D4" ca="1">INDIRECT("'"&amp;D$2&amp;" SCR'!D3",1)</f>
        <v>2373585.5523304939</v>
      </c>
      <c r="E4" s="38" cm="1">
        <f t="array" aca="1" ref="E4" ca="1">INDIRECT("'"&amp;E$2&amp;" SCR'!D3",1)</f>
        <v>2793350.5353597403</v>
      </c>
      <c r="F4" s="38" cm="1">
        <f t="array" aca="1" ref="F4" ca="1">INDIRECT("'"&amp;F$2&amp;" SCR'!D3",1)</f>
        <v>2407319.5553751588</v>
      </c>
      <c r="G4" s="38" cm="1">
        <f t="array" aca="1" ref="G4" ca="1">INDIRECT("'"&amp;G$2&amp;" SCR'!D3",1)</f>
        <v>332435.69831251726</v>
      </c>
      <c r="H4" s="38" cm="1">
        <f t="array" aca="1" ref="H4" ca="1">INDIRECT("'"&amp;H$2&amp;" SCR'!D3",1)</f>
        <v>389180.18690243363</v>
      </c>
      <c r="I4" s="38" cm="1">
        <f t="array" aca="1" ref="I4" ca="1">INDIRECT("'"&amp;I$2&amp;" SCR'!D3",1)</f>
        <v>137109.71992589533</v>
      </c>
      <c r="J4" s="38" cm="1">
        <f t="array" aca="1" ref="J4" ca="1">INDIRECT("'"&amp;J$2&amp;" SCR'!D3",1)</f>
        <v>164901.35439203493</v>
      </c>
      <c r="K4" s="38" cm="1">
        <f t="array" aca="1" ref="K4" ca="1">INDIRECT("'"&amp;K$2&amp;" SCR'!D3",1)</f>
        <v>6099.9560149312019</v>
      </c>
      <c r="L4" s="38" cm="1">
        <f t="array" aca="1" ref="L4" ca="1">INDIRECT("'"&amp;L$2&amp;" SCR'!D3",1)</f>
        <v>138617.59746289253</v>
      </c>
    </row>
    <row r="5" spans="2:12" x14ac:dyDescent="0.3">
      <c r="B5" s="37" t="s">
        <v>92</v>
      </c>
      <c r="C5" s="38" cm="1">
        <f t="array" aca="1" ref="C5" ca="1">INDIRECT("'"&amp;C$2&amp;" SCR'!D4",1)</f>
        <v>594263.52631316672</v>
      </c>
      <c r="D5" s="38" cm="1">
        <f t="array" aca="1" ref="D5" ca="1">INDIRECT("'"&amp;D$2&amp;" SCR'!D4",1)</f>
        <v>514660.91891298548</v>
      </c>
      <c r="E5" s="38" cm="1">
        <f t="array" aca="1" ref="E5" ca="1">INDIRECT("'"&amp;E$2&amp;" SCR'!D4",1)</f>
        <v>602417.7657175127</v>
      </c>
      <c r="F5" s="38" cm="1">
        <f t="array" aca="1" ref="F5" ca="1">INDIRECT("'"&amp;F$2&amp;" SCR'!D4",1)</f>
        <v>570462.88871009904</v>
      </c>
      <c r="G5" s="38" cm="1">
        <f t="array" aca="1" ref="G5" ca="1">INDIRECT("'"&amp;G$2&amp;" SCR'!D4",1)</f>
        <v>674028.17378337239</v>
      </c>
      <c r="H5" s="38" cm="1">
        <f t="array" aca="1" ref="H5" ca="1">INDIRECT("'"&amp;H$2&amp;" SCR'!D4",1)</f>
        <v>674028.17378337239</v>
      </c>
      <c r="I5" s="38" cm="1">
        <f t="array" aca="1" ref="I5" ca="1">INDIRECT("'"&amp;I$2&amp;" SCR'!D4",1)</f>
        <v>607987.06564361218</v>
      </c>
      <c r="J5" s="38" cm="1">
        <f t="array" aca="1" ref="J5" ca="1">INDIRECT("'"&amp;J$2&amp;" SCR'!D4",1)</f>
        <v>648746.19436632516</v>
      </c>
      <c r="K5" s="38" cm="1">
        <f t="array" aca="1" ref="K5" ca="1">INDIRECT("'"&amp;K$2&amp;" SCR'!D4",1)</f>
        <v>660437.72398853616</v>
      </c>
      <c r="L5" s="38" cm="1">
        <f t="array" aca="1" ref="L5" ca="1">INDIRECT("'"&amp;L$2&amp;" SCR'!D4",1)</f>
        <v>706595.50659242494</v>
      </c>
    </row>
    <row r="6" spans="2:12" x14ac:dyDescent="0.3">
      <c r="B6" s="37" t="s">
        <v>94</v>
      </c>
      <c r="C6" s="38" cm="1">
        <f t="array" aca="1" ref="C6" ca="1">INDIRECT("'"&amp;C$2&amp;" SCR'!D5",1)</f>
        <v>0</v>
      </c>
      <c r="D6" s="38" cm="1">
        <f t="array" aca="1" ref="D6" ca="1">INDIRECT("'"&amp;D$2&amp;" SCR'!D5",1)</f>
        <v>0</v>
      </c>
      <c r="E6" s="38" cm="1">
        <f t="array" aca="1" ref="E6" ca="1">INDIRECT("'"&amp;E$2&amp;" SCR'!D5",1)</f>
        <v>0</v>
      </c>
      <c r="F6" s="38" cm="1">
        <f t="array" aca="1" ref="F6" ca="1">INDIRECT("'"&amp;F$2&amp;" SCR'!D5",1)</f>
        <v>0</v>
      </c>
      <c r="G6" s="38" cm="1">
        <f t="array" aca="1" ref="G6" ca="1">INDIRECT("'"&amp;G$2&amp;" SCR'!D5",1)</f>
        <v>0</v>
      </c>
      <c r="H6" s="38" cm="1">
        <f t="array" aca="1" ref="H6" ca="1">INDIRECT("'"&amp;H$2&amp;" SCR'!D5",1)</f>
        <v>0</v>
      </c>
      <c r="I6" s="38" cm="1">
        <f t="array" aca="1" ref="I6" ca="1">INDIRECT("'"&amp;I$2&amp;" SCR'!D5",1)</f>
        <v>0</v>
      </c>
      <c r="J6" s="38" cm="1">
        <f t="array" aca="1" ref="J6" ca="1">INDIRECT("'"&amp;J$2&amp;" SCR'!D5",1)</f>
        <v>0</v>
      </c>
      <c r="K6" s="38" cm="1">
        <f t="array" aca="1" ref="K6" ca="1">INDIRECT("'"&amp;K$2&amp;" SCR'!D5",1)</f>
        <v>0</v>
      </c>
      <c r="L6" s="38" cm="1">
        <f t="array" aca="1" ref="L6" ca="1">INDIRECT("'"&amp;L$2&amp;" SCR'!D5",1)</f>
        <v>0</v>
      </c>
    </row>
    <row r="7" spans="2:12" x14ac:dyDescent="0.3">
      <c r="B7" s="37" t="s">
        <v>95</v>
      </c>
      <c r="C7" s="38" cm="1">
        <f t="array" aca="1" ref="C7" ca="1">INDIRECT("'"&amp;C$2&amp;" SCR'!D6",1)</f>
        <v>328569.46479050815</v>
      </c>
      <c r="D7" s="38" cm="1">
        <f t="array" aca="1" ref="D7" ca="1">INDIRECT("'"&amp;D$2&amp;" SCR'!D6",1)</f>
        <v>121491.2842294462</v>
      </c>
      <c r="E7" s="38" cm="1">
        <f t="array" aca="1" ref="E7" ca="1">INDIRECT("'"&amp;E$2&amp;" SCR'!D6",1)</f>
        <v>113981.10924657062</v>
      </c>
      <c r="F7" s="38" cm="1">
        <f t="array" aca="1" ref="F7" ca="1">INDIRECT("'"&amp;F$2&amp;" SCR'!D6",1)</f>
        <v>111173.29198629409</v>
      </c>
      <c r="G7" s="38" cm="1">
        <f t="array" aca="1" ref="G7" ca="1">INDIRECT("'"&amp;G$2&amp;" SCR'!D6",1)</f>
        <v>90491.784246567637</v>
      </c>
      <c r="H7" s="38" cm="1">
        <f t="array" aca="1" ref="H7" ca="1">INDIRECT("'"&amp;H$2&amp;" SCR'!D6",1)</f>
        <v>90491.784246567637</v>
      </c>
      <c r="I7" s="38" cm="1">
        <f t="array" aca="1" ref="I7" ca="1">INDIRECT("'"&amp;I$2&amp;" SCR'!D6",1)</f>
        <v>155104.27363013104</v>
      </c>
      <c r="J7" s="38" cm="1">
        <f t="array" aca="1" ref="J7" ca="1">INDIRECT("'"&amp;J$2&amp;" SCR'!D6",1)</f>
        <v>143581.8578897191</v>
      </c>
      <c r="K7" s="38" cm="1">
        <f t="array" aca="1" ref="K7" ca="1">INDIRECT("'"&amp;K$2&amp;" SCR'!D6",1)</f>
        <v>130552.54933149993</v>
      </c>
      <c r="L7" s="38" cm="1">
        <f t="array" aca="1" ref="L7" ca="1">INDIRECT("'"&amp;L$2&amp;" SCR'!D6",1)</f>
        <v>112147.88479451364</v>
      </c>
    </row>
    <row r="8" spans="2:12" x14ac:dyDescent="0.3">
      <c r="B8" s="37" t="s">
        <v>96</v>
      </c>
      <c r="C8" s="38" cm="1">
        <f t="array" aca="1" ref="C8" ca="1">INDIRECT("'"&amp;C$2&amp;" SCR'!D7",1)</f>
        <v>7689839.3986506499</v>
      </c>
      <c r="D8" s="38" cm="1">
        <f t="array" aca="1" ref="D8" ca="1">INDIRECT("'"&amp;D$2&amp;" SCR'!D7",1)</f>
        <v>6040562.6465786994</v>
      </c>
      <c r="E8" s="38" cm="1">
        <f t="array" aca="1" ref="E8" ca="1">INDIRECT("'"&amp;E$2&amp;" SCR'!D7",1)</f>
        <v>9860504.0945240781</v>
      </c>
      <c r="F8" s="38" cm="1">
        <f t="array" aca="1" ref="F8" ca="1">INDIRECT("'"&amp;F$2&amp;" SCR'!D7",1)</f>
        <v>7085730.5775050297</v>
      </c>
      <c r="G8" s="38" cm="1">
        <f t="array" aca="1" ref="G8" ca="1">INDIRECT("'"&amp;G$2&amp;" SCR'!D7",1)</f>
        <v>6582811.0733741131</v>
      </c>
      <c r="H8" s="38" cm="1">
        <f t="array" aca="1" ref="H8" ca="1">INDIRECT("'"&amp;H$2&amp;" SCR'!D7",1)</f>
        <v>5109327.3786187125</v>
      </c>
      <c r="I8" s="38" cm="1">
        <f t="array" aca="1" ref="I8" ca="1">INDIRECT("'"&amp;I$2&amp;" SCR'!D7",1)</f>
        <v>8149864.280395099</v>
      </c>
      <c r="J8" s="38" cm="1">
        <f t="array" aca="1" ref="J8" ca="1">INDIRECT("'"&amp;J$2&amp;" SCR'!D7",1)</f>
        <v>5109327.3786187125</v>
      </c>
      <c r="K8" s="38" cm="1">
        <f t="array" aca="1" ref="K8" ca="1">INDIRECT("'"&amp;K$2&amp;" SCR'!D7",1)</f>
        <v>6722201.4352612402</v>
      </c>
      <c r="L8" s="38" cm="1">
        <f t="array" aca="1" ref="L8" ca="1">INDIRECT("'"&amp;L$2&amp;" SCR'!D7",1)</f>
        <v>7468117.7702640695</v>
      </c>
    </row>
    <row r="9" spans="2:12" ht="15" thickBot="1" x14ac:dyDescent="0.35">
      <c r="B9" s="39" t="s">
        <v>97</v>
      </c>
      <c r="C9" s="40" cm="1">
        <f t="array" aca="1" ref="C9" ca="1">INDIRECT("'"&amp;C$2&amp;" SCR'!D8",1)</f>
        <v>485172.02925160195</v>
      </c>
      <c r="D9" s="40" cm="1">
        <f t="array" aca="1" ref="D9" ca="1">INDIRECT("'"&amp;D$2&amp;" SCR'!D8",1)</f>
        <v>53011.653933899906</v>
      </c>
      <c r="E9" s="40" cm="1">
        <f t="array" aca="1" ref="E9" ca="1">INDIRECT("'"&amp;E$2&amp;" SCR'!D8",1)</f>
        <v>59228.138822231653</v>
      </c>
      <c r="F9" s="40" cm="1">
        <f t="array" aca="1" ref="F9" ca="1">INDIRECT("'"&amp;F$2&amp;" SCR'!D8",1)</f>
        <v>53118.609347170874</v>
      </c>
      <c r="G9" s="40" cm="1">
        <f t="array" aca="1" ref="G9" ca="1">INDIRECT("'"&amp;G$2&amp;" SCR'!D8",1)</f>
        <v>71959.886674235007</v>
      </c>
      <c r="H9" s="40" cm="1">
        <f t="array" aca="1" ref="H9" ca="1">INDIRECT("'"&amp;H$2&amp;" SCR'!D8",1)</f>
        <v>6226215.0020712875</v>
      </c>
      <c r="I9" s="40" cm="1">
        <f t="array" aca="1" ref="I9" ca="1">INDIRECT("'"&amp;I$2&amp;" SCR'!D8",1)</f>
        <v>401094.30457591877</v>
      </c>
      <c r="J9" s="40" cm="1">
        <f t="array" aca="1" ref="J9" ca="1">INDIRECT("'"&amp;J$2&amp;" SCR'!D8",1)</f>
        <v>403301.45666965761</v>
      </c>
      <c r="K9" s="40" cm="1">
        <f t="array" aca="1" ref="K9" ca="1">INDIRECT("'"&amp;K$2&amp;" SCR'!D8",1)</f>
        <v>366581.52489133563</v>
      </c>
      <c r="L9" s="40" cm="1">
        <f t="array" aca="1" ref="L9" ca="1">INDIRECT("'"&amp;L$2&amp;" SCR'!D8",1)</f>
        <v>365904.47693588561</v>
      </c>
    </row>
    <row r="10" spans="2:12" x14ac:dyDescent="0.3">
      <c r="B10" s="35" t="s">
        <v>8</v>
      </c>
      <c r="C10" s="36" cm="1">
        <f t="array" aca="1" ref="C10" ca="1">INDIRECT("'"&amp;C$2&amp;" SCR'!D14",1)</f>
        <v>23265978.310005616</v>
      </c>
      <c r="D10" s="36" cm="1">
        <f t="array" aca="1" ref="D10" ca="1">INDIRECT("'"&amp;D$2&amp;" SCR'!D14",1)</f>
        <v>24901713.599069692</v>
      </c>
      <c r="E10" s="36" cm="1">
        <f t="array" aca="1" ref="E10" ca="1">INDIRECT("'"&amp;E$2&amp;" SCR'!D14",1)</f>
        <v>25501675.237585612</v>
      </c>
      <c r="F10" s="36" cm="1">
        <f t="array" aca="1" ref="F10" ca="1">INDIRECT("'"&amp;F$2&amp;" SCR'!D14",1)</f>
        <v>22432771.938878134</v>
      </c>
      <c r="G10" s="36" cm="1">
        <f t="array" aca="1" ref="G10" ca="1">INDIRECT("'"&amp;G$2&amp;" SCR'!D14",1)</f>
        <v>22319754.973432384</v>
      </c>
      <c r="H10" s="36" cm="1">
        <f t="array" aca="1" ref="H10" ca="1">INDIRECT("'"&amp;H$2&amp;" SCR'!D14",1)</f>
        <v>22455980.5836749</v>
      </c>
      <c r="I10" s="36" cm="1">
        <f t="array" aca="1" ref="I10" ca="1">INDIRECT("'"&amp;I$2&amp;" SCR'!D14",1)</f>
        <v>20521525.18813128</v>
      </c>
      <c r="J10" s="36" cm="1">
        <f t="array" aca="1" ref="J10" ca="1">INDIRECT("'"&amp;J$2&amp;" SCR'!D14",1)</f>
        <v>18369372.131720588</v>
      </c>
      <c r="K10" s="36" cm="1">
        <f t="array" aca="1" ref="K10" ca="1">INDIRECT("'"&amp;K$2&amp;" SCR'!D14",1)</f>
        <v>18611543.165571716</v>
      </c>
      <c r="L10" s="36" cm="1">
        <f t="array" aca="1" ref="L10" ca="1">INDIRECT("'"&amp;L$2&amp;" SCR'!D14",1)</f>
        <v>15140753.633961122</v>
      </c>
    </row>
    <row r="11" spans="2:12" x14ac:dyDescent="0.3">
      <c r="B11" s="37" t="s">
        <v>9</v>
      </c>
      <c r="C11" s="38" cm="1">
        <f t="array" aca="1" ref="C11" ca="1">INDIRECT("'"&amp;C$2&amp;" SCR'!D12",1)</f>
        <v>12531344.039548784</v>
      </c>
      <c r="D11" s="38" cm="1">
        <f t="array" aca="1" ref="D11" ca="1">INDIRECT("'"&amp;D$2&amp;" SCR'!D12",1)</f>
        <v>10564214.686787101</v>
      </c>
      <c r="E11" s="38" cm="1">
        <f t="array" aca="1" ref="E11" ca="1">INDIRECT("'"&amp;E$2&amp;" SCR'!D12",1)</f>
        <v>11975467.393952083</v>
      </c>
      <c r="F11" s="38" cm="1">
        <f t="array" aca="1" ref="F11" ca="1">INDIRECT("'"&amp;F$2&amp;" SCR'!D12",1)</f>
        <v>8708313.7287113052</v>
      </c>
      <c r="G11" s="38" cm="1">
        <f t="array" aca="1" ref="G11" ca="1">INDIRECT("'"&amp;G$2&amp;" SCR'!D12",1)</f>
        <v>9664490.3788441643</v>
      </c>
      <c r="H11" s="38" cm="1">
        <f t="array" aca="1" ref="H11" ca="1">INDIRECT("'"&amp;H$2&amp;" SCR'!D12",1)</f>
        <v>9814418.5440051649</v>
      </c>
      <c r="I11" s="38" cm="1">
        <f t="array" aca="1" ref="I11" ca="1">INDIRECT("'"&amp;I$2&amp;" SCR'!D12",1)</f>
        <v>9239694.0435061995</v>
      </c>
      <c r="J11" s="38" cm="1">
        <f t="array" aca="1" ref="J11" ca="1">INDIRECT("'"&amp;J$2&amp;" SCR'!D12",1)</f>
        <v>8575011.2041891236</v>
      </c>
      <c r="K11" s="38" cm="1">
        <f t="array" aca="1" ref="K11" ca="1">INDIRECT("'"&amp;K$2&amp;" SCR'!D12",1)</f>
        <v>8399881.5257690214</v>
      </c>
      <c r="L11" s="38" cm="1">
        <f t="array" aca="1" ref="L11" ca="1">INDIRECT("'"&amp;L$2&amp;" SCR'!D12",1)</f>
        <v>7424530.1133035319</v>
      </c>
    </row>
    <row r="12" spans="2:12" ht="15" thickBot="1" x14ac:dyDescent="0.35">
      <c r="B12" s="39" t="s">
        <v>10</v>
      </c>
      <c r="C12" s="40" cm="1">
        <f t="array" aca="1" ref="C12" ca="1">INDIRECT("'"&amp;C$2&amp;" SCR'!D13",1)</f>
        <v>12340928.864327416</v>
      </c>
      <c r="D12" s="40" cm="1">
        <f t="array" aca="1" ref="D12" ca="1">INDIRECT("'"&amp;D$2&amp;" SCR'!D13",1)</f>
        <v>15978077.210001931</v>
      </c>
      <c r="E12" s="40" cm="1">
        <f t="array" aca="1" ref="E12" ca="1">INDIRECT("'"&amp;E$2&amp;" SCR'!D13",1)</f>
        <v>15258712.343976082</v>
      </c>
      <c r="F12" s="40" cm="1">
        <f t="array" aca="1" ref="F12" ca="1">INDIRECT("'"&amp;F$2&amp;" SCR'!D13",1)</f>
        <v>15149437.279812977</v>
      </c>
      <c r="G12" s="40" cm="1">
        <f t="array" aca="1" ref="G12" ca="1">INDIRECT("'"&amp;G$2&amp;" SCR'!D13",1)</f>
        <v>14136391.352348806</v>
      </c>
      <c r="H12" s="40" cm="1">
        <f t="array" aca="1" ref="H12" ca="1">INDIRECT("'"&amp;H$2&amp;" SCR'!D13",1)</f>
        <v>14136391.352348806</v>
      </c>
      <c r="I12" s="40" cm="1">
        <f t="array" aca="1" ref="I12" ca="1">INDIRECT("'"&amp;I$2&amp;" SCR'!D13",1)</f>
        <v>12660603.880954307</v>
      </c>
      <c r="J12" s="40" cm="1">
        <f t="array" aca="1" ref="J12" ca="1">INDIRECT("'"&amp;J$2&amp;" SCR'!D13",1)</f>
        <v>11040550.31861466</v>
      </c>
      <c r="K12" s="40" cm="1">
        <f t="array" aca="1" ref="K12" ca="1">INDIRECT("'"&amp;K$2&amp;" SCR'!D13",1)</f>
        <v>11462983.039431581</v>
      </c>
      <c r="L12" s="40" cm="1">
        <f t="array" aca="1" ref="L12" ca="1">INDIRECT("'"&amp;L$2&amp;" SCR'!D13",1)</f>
        <v>8753816.7991649397</v>
      </c>
    </row>
    <row r="13" spans="2:12" x14ac:dyDescent="0.3">
      <c r="B13" s="35" t="s">
        <v>11</v>
      </c>
      <c r="C13" s="36" cm="1">
        <f t="array" aca="1" ref="C13" ca="1">INDIRECT("'"&amp;C$2&amp;" SCR'!D20",1)</f>
        <v>15149921.137712076</v>
      </c>
      <c r="D13" s="36" cm="1">
        <f t="array" aca="1" ref="D13" ca="1">INDIRECT("'"&amp;D$2&amp;" SCR'!D20",1)</f>
        <v>13598443.060484337</v>
      </c>
      <c r="E13" s="36" cm="1">
        <f t="array" aca="1" ref="E13" ca="1">INDIRECT("'"&amp;E$2&amp;" SCR'!D20",1)</f>
        <v>14555782.106379559</v>
      </c>
      <c r="F13" s="36" cm="1">
        <f t="array" aca="1" ref="F13" ca="1">INDIRECT("'"&amp;F$2&amp;" SCR'!D20",1)</f>
        <v>14231178.524769437</v>
      </c>
      <c r="G13" s="36" cm="1">
        <f t="array" aca="1" ref="G13" ca="1">INDIRECT("'"&amp;G$2&amp;" SCR'!D20",1)</f>
        <v>9076688.9780637752</v>
      </c>
      <c r="H13" s="36" cm="1">
        <f t="array" aca="1" ref="H13" ca="1">INDIRECT("'"&amp;H$2&amp;" SCR'!D20",1)</f>
        <v>9376848.1496567</v>
      </c>
      <c r="I13" s="36" cm="1">
        <f t="array" aca="1" ref="I13" ca="1">INDIRECT("'"&amp;I$2&amp;" SCR'!D20",1)</f>
        <v>8954534.7192851994</v>
      </c>
      <c r="J13" s="36" cm="1">
        <f t="array" aca="1" ref="J13" ca="1">INDIRECT("'"&amp;J$2&amp;" SCR'!D20",1)</f>
        <v>8599766.9123975802</v>
      </c>
      <c r="K13" s="36" cm="1">
        <f t="array" aca="1" ref="K13" ca="1">INDIRECT("'"&amp;K$2&amp;" SCR'!D20",1)</f>
        <v>8592091.0732393526</v>
      </c>
      <c r="L13" s="36" cm="1">
        <f t="array" aca="1" ref="L13" ca="1">INDIRECT("'"&amp;L$2&amp;" SCR'!D20",1)</f>
        <v>7439716.3087374391</v>
      </c>
    </row>
    <row r="14" spans="2:12" x14ac:dyDescent="0.3">
      <c r="B14" s="37" t="s">
        <v>12</v>
      </c>
      <c r="C14" s="38" cm="1">
        <f t="array" aca="1" ref="C14" ca="1">INDIRECT("'"&amp;C$2&amp;" SCR'!D17",1)</f>
        <v>12340250.602288991</v>
      </c>
      <c r="D14" s="38" cm="1">
        <f t="array" aca="1" ref="D14" ca="1">INDIRECT("'"&amp;D$2&amp;" SCR'!D17",1)</f>
        <v>11243144.223743619</v>
      </c>
      <c r="E14" s="38" cm="1">
        <f t="array" aca="1" ref="E14" ca="1">INDIRECT("'"&amp;E$2&amp;" SCR'!D17",1)</f>
        <v>11980770.004387209</v>
      </c>
      <c r="F14" s="38" cm="1">
        <f t="array" aca="1" ref="F14" ca="1">INDIRECT("'"&amp;F$2&amp;" SCR'!D17",1)</f>
        <v>11382818.475012481</v>
      </c>
      <c r="G14" s="38" cm="1">
        <f t="array" aca="1" ref="G14" ca="1">INDIRECT("'"&amp;G$2&amp;" SCR'!D17",1)</f>
        <v>7299512.1784551796</v>
      </c>
      <c r="H14" s="38" cm="1">
        <f t="array" aca="1" ref="H14" ca="1">INDIRECT("'"&amp;H$2&amp;" SCR'!D17",1)</f>
        <v>7541058.0411486011</v>
      </c>
      <c r="I14" s="38" cm="1">
        <f t="array" aca="1" ref="I14" ca="1">INDIRECT("'"&amp;I$2&amp;" SCR'!D17",1)</f>
        <v>7226409.3425536472</v>
      </c>
      <c r="J14" s="38" cm="1">
        <f t="array" aca="1" ref="J14" ca="1">INDIRECT("'"&amp;J$2&amp;" SCR'!D17",1)</f>
        <v>6674347.8177472698</v>
      </c>
      <c r="K14" s="38" cm="1">
        <f t="array" aca="1" ref="K14" ca="1">INDIRECT("'"&amp;K$2&amp;" SCR'!D17",1)</f>
        <v>6880373.5150640905</v>
      </c>
      <c r="L14" s="38" cm="1">
        <f t="array" aca="1" ref="L14" ca="1">INDIRECT("'"&amp;L$2&amp;" SCR'!D17",1)</f>
        <v>5642399.4760094881</v>
      </c>
    </row>
    <row r="15" spans="2:12" x14ac:dyDescent="0.3">
      <c r="B15" s="37" t="s">
        <v>13</v>
      </c>
      <c r="C15" s="38" cm="1">
        <f t="array" aca="1" ref="C15" ca="1">INDIRECT("'"&amp;C$2&amp;" SCR'!D18",1)</f>
        <v>0</v>
      </c>
      <c r="D15" s="38" cm="1">
        <f t="array" aca="1" ref="D15" ca="1">INDIRECT("'"&amp;D$2&amp;" SCR'!D18",1)</f>
        <v>0</v>
      </c>
      <c r="E15" s="38" cm="1">
        <f t="array" aca="1" ref="E15" ca="1">INDIRECT("'"&amp;E$2&amp;" SCR'!D18",1)</f>
        <v>0</v>
      </c>
      <c r="F15" s="38" cm="1">
        <f t="array" aca="1" ref="F15" ca="1">INDIRECT("'"&amp;F$2&amp;" SCR'!D18",1)</f>
        <v>0</v>
      </c>
      <c r="G15" s="38" cm="1">
        <f t="array" aca="1" ref="G15" ca="1">INDIRECT("'"&amp;G$2&amp;" SCR'!D18",1)</f>
        <v>1800494.7580152883</v>
      </c>
      <c r="H15" s="38" cm="1">
        <f t="array" aca="1" ref="H15" ca="1">INDIRECT("'"&amp;H$2&amp;" SCR'!D18",1)</f>
        <v>1800494.7580152883</v>
      </c>
      <c r="I15" s="38" cm="1">
        <f t="array" aca="1" ref="I15" ca="1">INDIRECT("'"&amp;I$2&amp;" SCR'!D18",1)</f>
        <v>1236842.4651241908</v>
      </c>
      <c r="J15" s="38" cm="1">
        <f t="array" aca="1" ref="J15" ca="1">INDIRECT("'"&amp;J$2&amp;" SCR'!D18",1)</f>
        <v>1383398.1848927964</v>
      </c>
      <c r="K15" s="38" cm="1">
        <f t="array" aca="1" ref="K15" ca="1">INDIRECT("'"&amp;K$2&amp;" SCR'!D18",1)</f>
        <v>1154593.7890739921</v>
      </c>
      <c r="L15" s="38" cm="1">
        <f t="array" aca="1" ref="L15" ca="1">INDIRECT("'"&amp;L$2&amp;" SCR'!D18",1)</f>
        <v>768572.64078177814</v>
      </c>
    </row>
    <row r="16" spans="2:12" ht="15" thickBot="1" x14ac:dyDescent="0.35">
      <c r="B16" s="39" t="s">
        <v>14</v>
      </c>
      <c r="C16" s="40" cm="1">
        <f t="array" aca="1" ref="C16" ca="1">INDIRECT("'"&amp;C$2&amp;" SCR'!D19",1)</f>
        <v>6229224.0698136585</v>
      </c>
      <c r="D16" s="40" cm="1">
        <f t="array" aca="1" ref="D16" ca="1">INDIRECT("'"&amp;D$2&amp;" SCR'!D19",1)</f>
        <v>5338439.6671361234</v>
      </c>
      <c r="E16" s="40" cm="1">
        <f t="array" aca="1" ref="E16" ca="1">INDIRECT("'"&amp;E$2&amp;" SCR'!D19",1)</f>
        <v>5797026.8404006343</v>
      </c>
      <c r="F16" s="40" cm="1">
        <f t="array" aca="1" ref="F16" ca="1">INDIRECT("'"&amp;F$2&amp;" SCR'!D19",1)</f>
        <v>6157401.5422318839</v>
      </c>
      <c r="G16" s="40" cm="1">
        <f t="array" aca="1" ref="G16" ca="1">INDIRECT("'"&amp;G$2&amp;" SCR'!D19",1)</f>
        <v>3578065.8996782294</v>
      </c>
      <c r="H16" s="40" cm="1">
        <f t="array" aca="1" ref="H16" ca="1">INDIRECT("'"&amp;H$2&amp;" SCR'!D19",1)</f>
        <v>3715643.0716906157</v>
      </c>
      <c r="I16" s="40" cm="1">
        <f t="array" aca="1" ref="I16" ca="1">INDIRECT("'"&amp;I$2&amp;" SCR'!D19",1)</f>
        <v>3642868.534853247</v>
      </c>
      <c r="J16" s="40" cm="1">
        <f t="array" aca="1" ref="J16" ca="1">INDIRECT("'"&amp;J$2&amp;" SCR'!D19",1)</f>
        <v>3834090.9429012164</v>
      </c>
      <c r="K16" s="40" cm="1">
        <f t="array" aca="1" ref="K16" ca="1">INDIRECT("'"&amp;K$2&amp;" SCR'!D19",1)</f>
        <v>3581804.7452977025</v>
      </c>
      <c r="L16" s="40" cm="1">
        <f t="array" aca="1" ref="L16" ca="1">INDIRECT("'"&amp;L$2&amp;" SCR'!D19",1)</f>
        <v>3580571.8365085619</v>
      </c>
    </row>
    <row r="17" spans="2:12" x14ac:dyDescent="0.3">
      <c r="B17" s="35" t="s">
        <v>15</v>
      </c>
      <c r="C17" s="36" cm="1">
        <f t="array" aca="1" ref="C17" ca="1">INDIRECT("'"&amp;C$2&amp;" SCR'!D30",1)</f>
        <v>2852330.7945413385</v>
      </c>
      <c r="D17" s="36" cm="1">
        <f t="array" aca="1" ref="D17" ca="1">INDIRECT("'"&amp;D$2&amp;" SCR'!D30",1)</f>
        <v>3072516.5327286017</v>
      </c>
      <c r="E17" s="36" cm="1">
        <f t="array" aca="1" ref="E17" ca="1">INDIRECT("'"&amp;E$2&amp;" SCR'!D30",1)</f>
        <v>1248826.6675433123</v>
      </c>
      <c r="F17" s="36" cm="1">
        <f t="array" aca="1" ref="F17" ca="1">INDIRECT("'"&amp;F$2&amp;" SCR'!D30",1)</f>
        <v>3251136.7898478229</v>
      </c>
      <c r="G17" s="36" cm="1">
        <f t="array" aca="1" ref="G17" ca="1">INDIRECT("'"&amp;G$2&amp;" SCR'!D30",1)</f>
        <v>2940703.5043357764</v>
      </c>
      <c r="H17" s="36" cm="1">
        <f t="array" aca="1" ref="H17" ca="1">INDIRECT("'"&amp;H$2&amp;" SCR'!D30",1)</f>
        <v>2940703.5043357764</v>
      </c>
      <c r="I17" s="36" cm="1">
        <f t="array" aca="1" ref="I17" ca="1">INDIRECT("'"&amp;I$2&amp;" SCR'!D30",1)</f>
        <v>4300319.6712106196</v>
      </c>
      <c r="J17" s="36" cm="1">
        <f t="array" aca="1" ref="J17" ca="1">INDIRECT("'"&amp;J$2&amp;" SCR'!D30",1)</f>
        <v>3732229.0803522179</v>
      </c>
      <c r="K17" s="36" cm="1">
        <f t="array" aca="1" ref="K17" ca="1">INDIRECT("'"&amp;K$2&amp;" SCR'!D30",1)</f>
        <v>3199586.1352465726</v>
      </c>
      <c r="L17" s="36" cm="1">
        <f t="array" aca="1" ref="L17" ca="1">INDIRECT("'"&amp;L$2&amp;" SCR'!D30",1)</f>
        <v>3181959.1039322638</v>
      </c>
    </row>
    <row r="18" spans="2:12" x14ac:dyDescent="0.3">
      <c r="B18" s="37" t="s">
        <v>16</v>
      </c>
      <c r="C18" s="38" cm="1">
        <f t="array" aca="1" ref="C18" ca="1">INDIRECT("'"&amp;C$2&amp;" SCR'!D23",1)</f>
        <v>599636.95036140457</v>
      </c>
      <c r="D18" s="38" cm="1">
        <f t="array" aca="1" ref="D18" ca="1">INDIRECT("'"&amp;D$2&amp;" SCR'!D23",1)</f>
        <v>1572011.9669472128</v>
      </c>
      <c r="E18" s="38" cm="1">
        <f t="array" aca="1" ref="E18" ca="1">INDIRECT("'"&amp;E$2&amp;" SCR'!D23",1)</f>
        <v>825842.38942651451</v>
      </c>
      <c r="F18" s="38" cm="1">
        <f t="array" aca="1" ref="F18" ca="1">INDIRECT("'"&amp;F$2&amp;" SCR'!D23",1)</f>
        <v>807128.08908334374</v>
      </c>
      <c r="G18" s="38" cm="1">
        <f t="array" aca="1" ref="G18" ca="1">INDIRECT("'"&amp;G$2&amp;" SCR'!D23",1)</f>
        <v>277220.83889872581</v>
      </c>
      <c r="H18" s="38" cm="1">
        <f t="array" aca="1" ref="H18" ca="1">INDIRECT("'"&amp;H$2&amp;" SCR'!D23",1)</f>
        <v>277220.83889872581</v>
      </c>
      <c r="I18" s="38" cm="1">
        <f t="array" aca="1" ref="I18" ca="1">INDIRECT("'"&amp;I$2&amp;" SCR'!D23",1)</f>
        <v>467081.65673999861</v>
      </c>
      <c r="J18" s="38" cm="1">
        <f t="array" aca="1" ref="J18" ca="1">INDIRECT("'"&amp;J$2&amp;" SCR'!D23",1)</f>
        <v>490042.79194041155</v>
      </c>
      <c r="K18" s="38" cm="1">
        <f t="array" aca="1" ref="K18" ca="1">INDIRECT("'"&amp;K$2&amp;" SCR'!D23",1)</f>
        <v>465008.74869865132</v>
      </c>
      <c r="L18" s="38" cm="1">
        <f t="array" aca="1" ref="L18" ca="1">INDIRECT("'"&amp;L$2&amp;" SCR'!D23",1)</f>
        <v>553532.78777542431</v>
      </c>
    </row>
    <row r="19" spans="2:12" x14ac:dyDescent="0.3">
      <c r="B19" s="37" t="s">
        <v>17</v>
      </c>
      <c r="C19" s="38" cm="1">
        <f t="array" aca="1" ref="C19" ca="1">INDIRECT("'"&amp;C$2&amp;" SCR'!D24",1)</f>
        <v>0</v>
      </c>
      <c r="D19" s="38" cm="1">
        <f t="array" aca="1" ref="D19" ca="1">INDIRECT("'"&amp;D$2&amp;" SCR'!D24",1)</f>
        <v>0</v>
      </c>
      <c r="E19" s="38" cm="1">
        <f t="array" aca="1" ref="E19" ca="1">INDIRECT("'"&amp;E$2&amp;" SCR'!D24",1)</f>
        <v>0</v>
      </c>
      <c r="F19" s="38" cm="1">
        <f t="array" aca="1" ref="F19" ca="1">INDIRECT("'"&amp;F$2&amp;" SCR'!D24",1)</f>
        <v>0</v>
      </c>
      <c r="G19" s="38" cm="1">
        <f t="array" aca="1" ref="G19" ca="1">INDIRECT("'"&amp;G$2&amp;" SCR'!D24",1)</f>
        <v>0</v>
      </c>
      <c r="H19" s="38" cm="1">
        <f t="array" aca="1" ref="H19" ca="1">INDIRECT("'"&amp;H$2&amp;" SCR'!D24",1)</f>
        <v>0</v>
      </c>
      <c r="I19" s="38" cm="1">
        <f t="array" aca="1" ref="I19" ca="1">INDIRECT("'"&amp;I$2&amp;" SCR'!D24",1)</f>
        <v>0</v>
      </c>
      <c r="J19" s="38" cm="1">
        <f t="array" aca="1" ref="J19" ca="1">INDIRECT("'"&amp;J$2&amp;" SCR'!D24",1)</f>
        <v>0</v>
      </c>
      <c r="K19" s="38" cm="1">
        <f t="array" aca="1" ref="K19" ca="1">INDIRECT("'"&amp;K$2&amp;" SCR'!D24",1)</f>
        <v>0</v>
      </c>
      <c r="L19" s="38" cm="1">
        <f t="array" aca="1" ref="L19" ca="1">INDIRECT("'"&amp;L$2&amp;" SCR'!D24",1)</f>
        <v>0</v>
      </c>
    </row>
    <row r="20" spans="2:12" x14ac:dyDescent="0.3">
      <c r="B20" s="37" t="s">
        <v>18</v>
      </c>
      <c r="C20" s="38" cm="1">
        <f t="array" aca="1" ref="C20" ca="1">INDIRECT("'"&amp;C$2&amp;" SCR'!D25",1)</f>
        <v>684238.60026022419</v>
      </c>
      <c r="D20" s="38" cm="1">
        <f t="array" aca="1" ref="D20" ca="1">INDIRECT("'"&amp;D$2&amp;" SCR'!D25",1)</f>
        <v>765136.19709983468</v>
      </c>
      <c r="E20" s="38" cm="1">
        <f t="array" aca="1" ref="E20" ca="1">INDIRECT("'"&amp;E$2&amp;" SCR'!D25",1)</f>
        <v>610173.04819945619</v>
      </c>
      <c r="F20" s="38" cm="1">
        <f t="array" aca="1" ref="F20" ca="1">INDIRECT("'"&amp;F$2&amp;" SCR'!D25",1)</f>
        <v>748507.84469088167</v>
      </c>
      <c r="G20" s="38" cm="1">
        <f t="array" aca="1" ref="G20" ca="1">INDIRECT("'"&amp;G$2&amp;" SCR'!D25",1)</f>
        <v>154198.18121241778</v>
      </c>
      <c r="H20" s="38" cm="1">
        <f t="array" aca="1" ref="H20" ca="1">INDIRECT("'"&amp;H$2&amp;" SCR'!D25",1)</f>
        <v>154198.18121241778</v>
      </c>
      <c r="I20" s="38" cm="1">
        <f t="array" aca="1" ref="I20" ca="1">INDIRECT("'"&amp;I$2&amp;" SCR'!D25",1)</f>
        <v>71965.084902014583</v>
      </c>
      <c r="J20" s="38" cm="1">
        <f t="array" aca="1" ref="J20" ca="1">INDIRECT("'"&amp;J$2&amp;" SCR'!D25",1)</f>
        <v>63785.787138272543</v>
      </c>
      <c r="K20" s="38" cm="1">
        <f t="array" aca="1" ref="K20" ca="1">INDIRECT("'"&amp;K$2&amp;" SCR'!D25",1)</f>
        <v>201243.57713569188</v>
      </c>
      <c r="L20" s="38" cm="1">
        <f t="array" aca="1" ref="L20" ca="1">INDIRECT("'"&amp;L$2&amp;" SCR'!D25",1)</f>
        <v>132937.64808135224</v>
      </c>
    </row>
    <row r="21" spans="2:12" x14ac:dyDescent="0.3">
      <c r="B21" s="37" t="s">
        <v>19</v>
      </c>
      <c r="C21" s="38" cm="1">
        <f t="array" aca="1" ref="C21" ca="1">INDIRECT("'"&amp;C$2&amp;" SCR'!D26",1)</f>
        <v>436058.42093189061</v>
      </c>
      <c r="D21" s="38" cm="1">
        <f t="array" aca="1" ref="D21" ca="1">INDIRECT("'"&amp;D$2&amp;" SCR'!D26",1)</f>
        <v>287742.47742590308</v>
      </c>
      <c r="E21" s="38" cm="1">
        <f t="array" aca="1" ref="E21" ca="1">INDIRECT("'"&amp;E$2&amp;" SCR'!D26",1)</f>
        <v>220271.17242957279</v>
      </c>
      <c r="F21" s="38" cm="1">
        <f t="array" aca="1" ref="F21" ca="1">INDIRECT("'"&amp;F$2&amp;" SCR'!D26",1)</f>
        <v>145951.50902121514</v>
      </c>
      <c r="G21" s="38" cm="1">
        <f t="array" aca="1" ref="G21" ca="1">INDIRECT("'"&amp;G$2&amp;" SCR'!D26",1)</f>
        <v>887358.86070103943</v>
      </c>
      <c r="H21" s="38" cm="1">
        <f t="array" aca="1" ref="H21" ca="1">INDIRECT("'"&amp;H$2&amp;" SCR'!D26",1)</f>
        <v>887358.86070103943</v>
      </c>
      <c r="I21" s="38" cm="1">
        <f t="array" aca="1" ref="I21" ca="1">INDIRECT("'"&amp;I$2&amp;" SCR'!D26",1)</f>
        <v>1975976.4831107967</v>
      </c>
      <c r="J21" s="38" cm="1">
        <f t="array" aca="1" ref="J21" ca="1">INDIRECT("'"&amp;J$2&amp;" SCR'!D26",1)</f>
        <v>518805.51379945205</v>
      </c>
      <c r="K21" s="38" cm="1">
        <f t="array" aca="1" ref="K21" ca="1">INDIRECT("'"&amp;K$2&amp;" SCR'!D26",1)</f>
        <v>280298.83697212086</v>
      </c>
      <c r="L21" s="38" cm="1">
        <f t="array" aca="1" ref="L21" ca="1">INDIRECT("'"&amp;L$2&amp;" SCR'!D26",1)</f>
        <v>264632.13784278854</v>
      </c>
    </row>
    <row r="22" spans="2:12" x14ac:dyDescent="0.3">
      <c r="B22" s="37" t="s">
        <v>20</v>
      </c>
      <c r="C22" s="38" cm="1">
        <f t="array" aca="1" ref="C22" ca="1">INDIRECT("'"&amp;C$2&amp;" SCR'!D27",1)</f>
        <v>144468.16801141575</v>
      </c>
      <c r="D22" s="38" cm="1">
        <f t="array" aca="1" ref="D22" ca="1">INDIRECT("'"&amp;D$2&amp;" SCR'!D27",1)</f>
        <v>144468.16959999874</v>
      </c>
      <c r="E22" s="38" cm="1">
        <f t="array" aca="1" ref="E22" ca="1">INDIRECT("'"&amp;E$2&amp;" SCR'!D27",1)</f>
        <v>142580.15161596239</v>
      </c>
      <c r="F22" s="38" cm="1">
        <f t="array" aca="1" ref="F22" ca="1">INDIRECT("'"&amp;F$2&amp;" SCR'!D27",1)</f>
        <v>71557.156031504273</v>
      </c>
      <c r="G22" s="38" cm="1">
        <f t="array" aca="1" ref="G22" ca="1">INDIRECT("'"&amp;G$2&amp;" SCR'!D27",1)</f>
        <v>10152.708359517157</v>
      </c>
      <c r="H22" s="38" cm="1">
        <f t="array" aca="1" ref="H22" ca="1">INDIRECT("'"&amp;H$2&amp;" SCR'!D27",1)</f>
        <v>10152.708359517157</v>
      </c>
      <c r="I22" s="38" cm="1">
        <f t="array" aca="1" ref="I22" ca="1">INDIRECT("'"&amp;I$2&amp;" SCR'!D27",1)</f>
        <v>11792.473314337432</v>
      </c>
      <c r="J22" s="38" cm="1">
        <f t="array" aca="1" ref="J22" ca="1">INDIRECT("'"&amp;J$2&amp;" SCR'!D27",1)</f>
        <v>21931.74439975532</v>
      </c>
      <c r="K22" s="38" cm="1">
        <f t="array" aca="1" ref="K22" ca="1">INDIRECT("'"&amp;K$2&amp;" SCR'!D27",1)</f>
        <v>20473.731247671996</v>
      </c>
      <c r="L22" s="38" cm="1">
        <f t="array" aca="1" ref="L22" ca="1">INDIRECT("'"&amp;L$2&amp;" SCR'!D27",1)</f>
        <v>17808.911590014148</v>
      </c>
    </row>
    <row r="23" spans="2:12" x14ac:dyDescent="0.3">
      <c r="B23" s="37" t="s">
        <v>21</v>
      </c>
      <c r="C23" s="38" cm="1">
        <f t="array" aca="1" ref="C23" ca="1">INDIRECT("'"&amp;C$2&amp;" SCR'!D28",1)</f>
        <v>0</v>
      </c>
      <c r="D23" s="38" cm="1">
        <f t="array" aca="1" ref="D23" ca="1">INDIRECT("'"&amp;D$2&amp;" SCR'!D28",1)</f>
        <v>0</v>
      </c>
      <c r="E23" s="38" cm="1">
        <f t="array" aca="1" ref="E23" ca="1">INDIRECT("'"&amp;E$2&amp;" SCR'!D28",1)</f>
        <v>0</v>
      </c>
      <c r="F23" s="38" cm="1">
        <f t="array" aca="1" ref="F23" ca="1">INDIRECT("'"&amp;F$2&amp;" SCR'!D28",1)</f>
        <v>0</v>
      </c>
      <c r="G23" s="38" cm="1">
        <f t="array" aca="1" ref="G23" ca="1">INDIRECT("'"&amp;G$2&amp;" SCR'!D28",1)</f>
        <v>0</v>
      </c>
      <c r="H23" s="38" cm="1">
        <f t="array" aca="1" ref="H23" ca="1">INDIRECT("'"&amp;H$2&amp;" SCR'!D28",1)</f>
        <v>0</v>
      </c>
      <c r="I23" s="38" cm="1">
        <f t="array" aca="1" ref="I23" ca="1">INDIRECT("'"&amp;I$2&amp;" SCR'!D28",1)</f>
        <v>0</v>
      </c>
      <c r="J23" s="38" cm="1">
        <f t="array" aca="1" ref="J23" ca="1">INDIRECT("'"&amp;J$2&amp;" SCR'!D28",1)</f>
        <v>0</v>
      </c>
      <c r="K23" s="38" cm="1">
        <f t="array" aca="1" ref="K23" ca="1">INDIRECT("'"&amp;K$2&amp;" SCR'!D28",1)</f>
        <v>0</v>
      </c>
      <c r="L23" s="38" cm="1">
        <f t="array" aca="1" ref="L23" ca="1">INDIRECT("'"&amp;L$2&amp;" SCR'!D28",1)</f>
        <v>0</v>
      </c>
    </row>
    <row r="24" spans="2:12" ht="15" thickBot="1" x14ac:dyDescent="0.35">
      <c r="B24" s="39" t="s">
        <v>22</v>
      </c>
      <c r="C24" s="40" cm="1">
        <f t="array" aca="1" ref="C24" ca="1">INDIRECT("'"&amp;C$2&amp;" SCR'!D29",1)</f>
        <v>2161439.5465994999</v>
      </c>
      <c r="D24" s="40" cm="1">
        <f t="array" aca="1" ref="D24" ca="1">INDIRECT("'"&amp;D$2&amp;" SCR'!D29",1)</f>
        <v>1735068.0438824967</v>
      </c>
      <c r="E24" s="40" cm="1">
        <f t="array" aca="1" ref="E24" ca="1">INDIRECT("'"&amp;E$2&amp;" SCR'!D29",1)</f>
        <v>7891.4867039993405</v>
      </c>
      <c r="F24" s="40" cm="1">
        <f t="array" aca="1" ref="F24" ca="1">INDIRECT("'"&amp;F$2&amp;" SCR'!D29",1)</f>
        <v>2578848.4114092663</v>
      </c>
      <c r="G24" s="40" cm="1">
        <f t="array" aca="1" ref="G24" ca="1">INDIRECT("'"&amp;G$2&amp;" SCR'!D29",1)</f>
        <v>2467164.2456025034</v>
      </c>
      <c r="H24" s="40" cm="1">
        <f t="array" aca="1" ref="H24" ca="1">INDIRECT("'"&amp;H$2&amp;" SCR'!D29",1)</f>
        <v>2467164.2456025034</v>
      </c>
      <c r="I24" s="40" cm="1">
        <f t="array" aca="1" ref="I24" ca="1">INDIRECT("'"&amp;I$2&amp;" SCR'!D29",1)</f>
        <v>3204977.1470984966</v>
      </c>
      <c r="J24" s="40" cm="1">
        <f t="array" aca="1" ref="J24" ca="1">INDIRECT("'"&amp;J$2&amp;" SCR'!D29",1)</f>
        <v>3394707.345880527</v>
      </c>
      <c r="K24" s="40" cm="1">
        <f t="array" aca="1" ref="K24" ca="1">INDIRECT("'"&amp;K$2&amp;" SCR'!D29",1)</f>
        <v>2904458.8945365585</v>
      </c>
      <c r="L24" s="40" cm="1">
        <f t="array" aca="1" ref="L24" ca="1">INDIRECT("'"&amp;L$2&amp;" SCR'!D29",1)</f>
        <v>2878720.369634524</v>
      </c>
    </row>
    <row r="25" spans="2:12" x14ac:dyDescent="0.3">
      <c r="B25" s="35" t="s">
        <v>93</v>
      </c>
      <c r="C25" s="36" cm="1">
        <f t="array" aca="1" ref="C25" ca="1">INDIRECT("'"&amp;C$2&amp;" SCR'!D35",1)</f>
        <v>184352.07064002671</v>
      </c>
      <c r="D25" s="36" cm="1">
        <f t="array" aca="1" ref="D25" ca="1">INDIRECT("'"&amp;D$2&amp;" SCR'!D35",1)</f>
        <v>10800.927891154239</v>
      </c>
      <c r="E25" s="36" cm="1">
        <f t="array" aca="1" ref="E25" ca="1">INDIRECT("'"&amp;E$2&amp;" SCR'!D35",1)</f>
        <v>1182.2288186058252</v>
      </c>
      <c r="F25" s="36" cm="1">
        <f t="array" aca="1" ref="F25" ca="1">INDIRECT("'"&amp;F$2&amp;" SCR'!D35",1)</f>
        <v>891.22211123499471</v>
      </c>
      <c r="G25" s="36" cm="1">
        <f t="array" aca="1" ref="G25" ca="1">INDIRECT("'"&amp;G$2&amp;" SCR'!D35",1)</f>
        <v>220217.61094052071</v>
      </c>
      <c r="H25" s="36" cm="1">
        <f t="array" aca="1" ref="H25" ca="1">INDIRECT("'"&amp;H$2&amp;" SCR'!D35",1)</f>
        <v>220217.61094052071</v>
      </c>
      <c r="I25" s="36" cm="1">
        <f t="array" aca="1" ref="I25" ca="1">INDIRECT("'"&amp;I$2&amp;" SCR'!D35",1)</f>
        <v>1189624.4306898706</v>
      </c>
      <c r="J25" s="36" cm="1">
        <f t="array" aca="1" ref="J25" ca="1">INDIRECT("'"&amp;J$2&amp;" SCR'!D35",1)</f>
        <v>1146833.3515850455</v>
      </c>
      <c r="K25" s="36" cm="1">
        <f t="array" aca="1" ref="K25" ca="1">INDIRECT("'"&amp;K$2&amp;" SCR'!D35",1)</f>
        <v>1217191.9008078557</v>
      </c>
      <c r="L25" s="36" cm="1">
        <f t="array" aca="1" ref="L25" ca="1">INDIRECT("'"&amp;L$2&amp;" SCR'!D35",1)</f>
        <v>1461661.4084253747</v>
      </c>
    </row>
    <row r="26" spans="2:12" x14ac:dyDescent="0.3">
      <c r="B26" s="37" t="s">
        <v>12</v>
      </c>
      <c r="C26" s="38" cm="1">
        <f t="array" aca="1" ref="C26" ca="1">INDIRECT("'"&amp;C$2&amp;" SCR'!D33",1)</f>
        <v>184352.07064002671</v>
      </c>
      <c r="D26" s="38" cm="1">
        <f t="array" aca="1" ref="D26" ca="1">INDIRECT("'"&amp;D$2&amp;" SCR'!D33",1)</f>
        <v>10800.927891154239</v>
      </c>
      <c r="E26" s="38" cm="1">
        <f t="array" aca="1" ref="E26" ca="1">INDIRECT("'"&amp;E$2&amp;" SCR'!D33",1)</f>
        <v>1182.2288186058252</v>
      </c>
      <c r="F26" s="38" cm="1">
        <f t="array" aca="1" ref="F26" ca="1">INDIRECT("'"&amp;F$2&amp;" SCR'!D33",1)</f>
        <v>891.22211123499471</v>
      </c>
      <c r="G26" s="38" cm="1">
        <f t="array" aca="1" ref="G26" ca="1">INDIRECT("'"&amp;G$2&amp;" SCR'!D33",1)</f>
        <v>299.43900469352235</v>
      </c>
      <c r="H26" s="38" cm="1">
        <f t="array" aca="1" ref="H26" ca="1">INDIRECT("'"&amp;H$2&amp;" SCR'!D33",1)</f>
        <v>299.43900469352235</v>
      </c>
      <c r="I26" s="38" cm="1">
        <f t="array" aca="1" ref="I26" ca="1">INDIRECT("'"&amp;I$2&amp;" SCR'!D33",1)</f>
        <v>878436.93195760087</v>
      </c>
      <c r="J26" s="38" cm="1">
        <f t="array" aca="1" ref="J26" ca="1">INDIRECT("'"&amp;J$2&amp;" SCR'!D33",1)</f>
        <v>828777.06673214363</v>
      </c>
      <c r="K26" s="38" cm="1">
        <f t="array" aca="1" ref="K26" ca="1">INDIRECT("'"&amp;K$2&amp;" SCR'!D33",1)</f>
        <v>932580.43675149139</v>
      </c>
      <c r="L26" s="38" cm="1">
        <f t="array" aca="1" ref="L26" ca="1">INDIRECT("'"&amp;L$2&amp;" SCR'!D33",1)</f>
        <v>1139420.3513247566</v>
      </c>
    </row>
    <row r="27" spans="2:12" ht="15" thickBot="1" x14ac:dyDescent="0.35">
      <c r="B27" s="39" t="s">
        <v>14</v>
      </c>
      <c r="C27" s="40" cm="1">
        <f t="array" aca="1" ref="C27" ca="1">INDIRECT("'"&amp;C$2&amp;" SCR'!D34",1)</f>
        <v>0</v>
      </c>
      <c r="D27" s="40" cm="1">
        <f t="array" aca="1" ref="D27" ca="1">INDIRECT("'"&amp;D$2&amp;" SCR'!D34",1)</f>
        <v>0</v>
      </c>
      <c r="E27" s="40" cm="1">
        <f t="array" aca="1" ref="E27" ca="1">INDIRECT("'"&amp;E$2&amp;" SCR'!D34",1)</f>
        <v>0</v>
      </c>
      <c r="F27" s="40" cm="1">
        <f t="array" aca="1" ref="F27" ca="1">INDIRECT("'"&amp;F$2&amp;" SCR'!D34",1)</f>
        <v>0</v>
      </c>
      <c r="G27" s="40" cm="1">
        <f t="array" aca="1" ref="G27" ca="1">INDIRECT("'"&amp;G$2&amp;" SCR'!D34",1)</f>
        <v>220142.56033319543</v>
      </c>
      <c r="H27" s="40" cm="1">
        <f t="array" aca="1" ref="H27" ca="1">INDIRECT("'"&amp;H$2&amp;" SCR'!D34",1)</f>
        <v>220142.56033319543</v>
      </c>
      <c r="I27" s="40" cm="1">
        <f t="array" aca="1" ref="I27" ca="1">INDIRECT("'"&amp;I$2&amp;" SCR'!D34",1)</f>
        <v>612125.73554403172</v>
      </c>
      <c r="J27" s="40" cm="1">
        <f t="array" aca="1" ref="J27" ca="1">INDIRECT("'"&amp;J$2&amp;" SCR'!D34",1)</f>
        <v>612125.43533381005</v>
      </c>
      <c r="K27" s="40" cm="1">
        <f t="array" aca="1" ref="K27" ca="1">INDIRECT("'"&amp;K$2&amp;" SCR'!D34",1)</f>
        <v>583069.62623342767</v>
      </c>
      <c r="L27" s="40" cm="1">
        <f t="array" aca="1" ref="L27" ca="1">INDIRECT("'"&amp;L$2&amp;" SCR'!D34",1)</f>
        <v>673955.50708854396</v>
      </c>
    </row>
    <row r="30" spans="2:12" ht="15" thickBot="1" x14ac:dyDescent="0.35"/>
    <row r="31" spans="2:12" ht="15" thickBot="1" x14ac:dyDescent="0.35">
      <c r="B31" s="32" t="s">
        <v>24</v>
      </c>
      <c r="C31" s="33" t="s">
        <v>87</v>
      </c>
      <c r="D31" s="33" t="s">
        <v>86</v>
      </c>
      <c r="E31" s="33" t="s">
        <v>85</v>
      </c>
      <c r="F31" s="33" t="s">
        <v>84</v>
      </c>
      <c r="G31" s="33" t="s">
        <v>82</v>
      </c>
      <c r="H31" s="33" t="s">
        <v>83</v>
      </c>
      <c r="I31" s="33" t="s">
        <v>28</v>
      </c>
      <c r="J31" s="33" t="s">
        <v>48</v>
      </c>
      <c r="K31" s="33" t="str">
        <f>+K2</f>
        <v>Q3 2025</v>
      </c>
      <c r="L31" s="33" t="str">
        <f>+L2</f>
        <v>Q4 2025</v>
      </c>
    </row>
    <row r="32" spans="2:12" x14ac:dyDescent="0.3">
      <c r="B32" s="41" t="s">
        <v>32</v>
      </c>
      <c r="C32" s="42">
        <f ca="1">+C3</f>
        <v>8233855.3769013602</v>
      </c>
      <c r="D32" s="42">
        <f t="shared" ref="D32:J32" ca="1" si="0">+D3</f>
        <v>7182534.1381265065</v>
      </c>
      <c r="E32" s="42">
        <f t="shared" ca="1" si="0"/>
        <v>11082359.8851978</v>
      </c>
      <c r="F32" s="42">
        <f t="shared" ca="1" si="0"/>
        <v>8308018.7032041727</v>
      </c>
      <c r="G32" s="42">
        <f t="shared" ca="1" si="0"/>
        <v>6918653.5361755108</v>
      </c>
      <c r="H32" s="42">
        <f t="shared" ca="1" si="0"/>
        <v>6585249.809283155</v>
      </c>
      <c r="I32" s="42">
        <f t="shared" ca="1" si="0"/>
        <v>8420689.2039712258</v>
      </c>
      <c r="J32" s="42">
        <f t="shared" ca="1" si="0"/>
        <v>5427000.6090313494</v>
      </c>
      <c r="K32" s="42">
        <f t="shared" ref="K32:L32" ca="1" si="1">+K3</f>
        <v>6970573.2623658096</v>
      </c>
      <c r="L32" s="42">
        <f t="shared" ca="1" si="1"/>
        <v>7761761.246576271</v>
      </c>
    </row>
    <row r="33" spans="2:12" x14ac:dyDescent="0.3">
      <c r="B33" s="37" t="s">
        <v>33</v>
      </c>
      <c r="C33" s="43">
        <f ca="1">+C10</f>
        <v>23265978.310005616</v>
      </c>
      <c r="D33" s="43">
        <f t="shared" ref="D33:J33" ca="1" si="2">+D10</f>
        <v>24901713.599069692</v>
      </c>
      <c r="E33" s="43">
        <f t="shared" ca="1" si="2"/>
        <v>25501675.237585612</v>
      </c>
      <c r="F33" s="43">
        <f t="shared" ca="1" si="2"/>
        <v>22432771.938878134</v>
      </c>
      <c r="G33" s="43">
        <f t="shared" ca="1" si="2"/>
        <v>22319754.973432384</v>
      </c>
      <c r="H33" s="43">
        <f t="shared" ca="1" si="2"/>
        <v>22455980.5836749</v>
      </c>
      <c r="I33" s="43">
        <f t="shared" ca="1" si="2"/>
        <v>20521525.18813128</v>
      </c>
      <c r="J33" s="43">
        <f t="shared" ca="1" si="2"/>
        <v>18369372.131720588</v>
      </c>
      <c r="K33" s="43">
        <f t="shared" ref="K33:L33" ca="1" si="3">+K10</f>
        <v>18611543.165571716</v>
      </c>
      <c r="L33" s="43">
        <f t="shared" ca="1" si="3"/>
        <v>15140753.633961122</v>
      </c>
    </row>
    <row r="34" spans="2:12" x14ac:dyDescent="0.3">
      <c r="B34" s="37" t="s">
        <v>34</v>
      </c>
      <c r="C34" s="43">
        <f ca="1">+C17</f>
        <v>2852330.7945413385</v>
      </c>
      <c r="D34" s="43">
        <f t="shared" ref="D34:J34" ca="1" si="4">+D17</f>
        <v>3072516.5327286017</v>
      </c>
      <c r="E34" s="43">
        <f t="shared" ca="1" si="4"/>
        <v>1248826.6675433123</v>
      </c>
      <c r="F34" s="43">
        <f t="shared" ca="1" si="4"/>
        <v>3251136.7898478229</v>
      </c>
      <c r="G34" s="43">
        <f t="shared" ca="1" si="4"/>
        <v>2940703.5043357764</v>
      </c>
      <c r="H34" s="43">
        <f t="shared" ca="1" si="4"/>
        <v>2940703.5043357764</v>
      </c>
      <c r="I34" s="43">
        <f t="shared" ca="1" si="4"/>
        <v>4300319.6712106196</v>
      </c>
      <c r="J34" s="43">
        <f t="shared" ca="1" si="4"/>
        <v>3732229.0803522179</v>
      </c>
      <c r="K34" s="43">
        <f t="shared" ref="K34:L34" ca="1" si="5">+K17</f>
        <v>3199586.1352465726</v>
      </c>
      <c r="L34" s="43">
        <f t="shared" ca="1" si="5"/>
        <v>3181959.1039322638</v>
      </c>
    </row>
    <row r="35" spans="2:12" x14ac:dyDescent="0.3">
      <c r="B35" s="37" t="s">
        <v>35</v>
      </c>
      <c r="C35" s="43">
        <f ca="1">+C25</f>
        <v>184352.07064002671</v>
      </c>
      <c r="D35" s="43">
        <f t="shared" ref="D35:J35" ca="1" si="6">+D25</f>
        <v>10800.927891154239</v>
      </c>
      <c r="E35" s="43">
        <f t="shared" ca="1" si="6"/>
        <v>1182.2288186058252</v>
      </c>
      <c r="F35" s="43">
        <f t="shared" ca="1" si="6"/>
        <v>891.22211123499471</v>
      </c>
      <c r="G35" s="43">
        <f t="shared" ca="1" si="6"/>
        <v>220217.61094052071</v>
      </c>
      <c r="H35" s="43">
        <f t="shared" ca="1" si="6"/>
        <v>220217.61094052071</v>
      </c>
      <c r="I35" s="43">
        <f t="shared" ca="1" si="6"/>
        <v>1189624.4306898706</v>
      </c>
      <c r="J35" s="43">
        <f t="shared" ca="1" si="6"/>
        <v>1146833.3515850455</v>
      </c>
      <c r="K35" s="43">
        <f t="shared" ref="K35:L35" ca="1" si="7">+K25</f>
        <v>1217191.9008078557</v>
      </c>
      <c r="L35" s="43">
        <f t="shared" ca="1" si="7"/>
        <v>1461661.4084253747</v>
      </c>
    </row>
    <row r="36" spans="2:12" x14ac:dyDescent="0.3">
      <c r="B36" s="37" t="s">
        <v>36</v>
      </c>
      <c r="C36" s="43">
        <f ca="1">+C13</f>
        <v>15149921.137712076</v>
      </c>
      <c r="D36" s="43">
        <f t="shared" ref="D36:J36" ca="1" si="8">+D13</f>
        <v>13598443.060484337</v>
      </c>
      <c r="E36" s="43">
        <f t="shared" ca="1" si="8"/>
        <v>14555782.106379559</v>
      </c>
      <c r="F36" s="43">
        <f t="shared" ca="1" si="8"/>
        <v>14231178.524769437</v>
      </c>
      <c r="G36" s="43">
        <f t="shared" ca="1" si="8"/>
        <v>9076688.9780637752</v>
      </c>
      <c r="H36" s="43">
        <f t="shared" ca="1" si="8"/>
        <v>9376848.1496567</v>
      </c>
      <c r="I36" s="43">
        <f t="shared" ca="1" si="8"/>
        <v>8954534.7192851994</v>
      </c>
      <c r="J36" s="43">
        <f t="shared" ca="1" si="8"/>
        <v>8599766.9123975802</v>
      </c>
      <c r="K36" s="43">
        <f t="shared" ref="K36:L36" ca="1" si="9">+K13</f>
        <v>8592091.0732393526</v>
      </c>
      <c r="L36" s="43">
        <f t="shared" ca="1" si="9"/>
        <v>7439716.3087374391</v>
      </c>
    </row>
    <row r="37" spans="2:12" ht="15" thickBot="1" x14ac:dyDescent="0.35">
      <c r="B37" s="44" t="s">
        <v>38</v>
      </c>
      <c r="C37" s="45" cm="1">
        <f t="array" aca="1" ref="C37" ca="1">INDIRECT("'"&amp;C$2&amp;" SCR'!D46",1)</f>
        <v>37490207.308944985</v>
      </c>
      <c r="D37" s="45" cm="1">
        <f t="array" aca="1" ref="D37" ca="1">INDIRECT("'"&amp;D$2&amp;" SCR'!D46",1)</f>
        <v>37315019.735804975</v>
      </c>
      <c r="E37" s="45" cm="1">
        <f t="array" aca="1" ref="E37" ca="1">INDIRECT("'"&amp;E$2&amp;" SCR'!D46",1)</f>
        <v>40032647.088287689</v>
      </c>
      <c r="F37" s="45" cm="1">
        <f t="array" aca="1" ref="F37" ca="1">INDIRECT("'"&amp;F$2&amp;" SCR'!D46",1)</f>
        <v>36150827.726355508</v>
      </c>
      <c r="G37" s="45" cm="1">
        <f t="array" aca="1" ref="G37" ca="1">INDIRECT("'"&amp;G$2&amp;" SCR'!D46",1)</f>
        <v>31541333.615448888</v>
      </c>
      <c r="H37" s="45" cm="1">
        <f t="array" aca="1" ref="H37" ca="1">INDIRECT("'"&amp;H$2&amp;" SCR'!D46",1)</f>
        <v>31715300.634427581</v>
      </c>
      <c r="I37" s="45" cm="1">
        <f t="array" aca="1" ref="I37" ca="1">INDIRECT("'"&amp;I$2&amp;" SCR'!D46",1)</f>
        <v>31336898.093056716</v>
      </c>
      <c r="J37" s="45" cm="1">
        <f t="array" aca="1" ref="J37" ca="1">INDIRECT("'"&amp;J$2&amp;" SCR'!D46",1)</f>
        <v>27339204.851371091</v>
      </c>
      <c r="K37" s="45" cm="1">
        <f t="array" aca="1" ref="K37" ca="1">INDIRECT("'"&amp;K$2&amp;" SCR'!D46",1)</f>
        <v>28172476.354546968</v>
      </c>
      <c r="L37" s="45" cm="1">
        <f t="array" aca="1" ref="L37" ca="1">INDIRECT("'"&amp;L$2&amp;" SCR'!D46",1)</f>
        <v>24756288.941938959</v>
      </c>
    </row>
    <row r="38" spans="2:12" x14ac:dyDescent="0.3">
      <c r="B38" s="41" t="s">
        <v>25</v>
      </c>
      <c r="C38" s="46" cm="1">
        <f t="array" aca="1" ref="C38" ca="1">INDIRECT("'"&amp;C$2&amp;" SCR'!D49",1)</f>
        <v>5557503.7823423054</v>
      </c>
      <c r="D38" s="46" cm="1">
        <f t="array" aca="1" ref="D38" ca="1">INDIRECT("'"&amp;D$2&amp;" SCR'!D49",1)</f>
        <v>5183192.2352515394</v>
      </c>
      <c r="E38" s="46" cm="1">
        <f t="array" aca="1" ref="E38" ca="1">INDIRECT("'"&amp;E$2&amp;" SCR'!D49",1)</f>
        <v>5972583.0282603614</v>
      </c>
      <c r="F38" s="46" cm="1">
        <f t="array" aca="1" ref="F38" ca="1">INDIRECT("'"&amp;F$2&amp;" SCR'!D49",1)</f>
        <v>7075055.7111559398</v>
      </c>
      <c r="G38" s="46" cm="1">
        <f t="array" aca="1" ref="G38" ca="1">INDIRECT("'"&amp;G$2&amp;" SCR'!D49",1)</f>
        <v>8923159.1101645045</v>
      </c>
      <c r="H38" s="46" cm="1">
        <f t="array" aca="1" ref="H38" ca="1">INDIRECT("'"&amp;H$2&amp;" SCR'!D49",1)</f>
        <v>8923159.1101645045</v>
      </c>
      <c r="I38" s="46" cm="1">
        <f t="array" aca="1" ref="I38" ca="1">INDIRECT("'"&amp;I$2&amp;" SCR'!D49",1)</f>
        <v>7820065.6613019845</v>
      </c>
      <c r="J38" s="46" cm="1">
        <f t="array" aca="1" ref="J38" ca="1">INDIRECT("'"&amp;J$2&amp;" SCR'!D49",1)</f>
        <v>6411779.0633411547</v>
      </c>
      <c r="K38" s="46" cm="1">
        <f t="array" aca="1" ref="K38" ca="1">INDIRECT("'"&amp;K$2&amp;" SCR'!D49",1)</f>
        <v>6386656.9884347646</v>
      </c>
      <c r="L38" s="46" cm="1">
        <f t="array" aca="1" ref="L38" ca="1">INDIRECT("'"&amp;L$2&amp;" SCR'!D49",1)</f>
        <v>6157344.6419522902</v>
      </c>
    </row>
    <row r="39" spans="2:12" x14ac:dyDescent="0.3">
      <c r="B39" s="37" t="s">
        <v>26</v>
      </c>
      <c r="C39" s="47" cm="1">
        <f t="array" aca="1" ref="C39" ca="1">INDIRECT("'"&amp;C$2&amp;" SCR'!D50",1)</f>
        <v>-9758661.3801494632</v>
      </c>
      <c r="D39" s="47" cm="1">
        <f t="array" aca="1" ref="D39" ca="1">INDIRECT("'"&amp;D$2&amp;" SCR'!D50",1)</f>
        <v>-9037628.980247451</v>
      </c>
      <c r="E39" s="47" cm="1">
        <f t="array" aca="1" ref="E39" ca="1">INDIRECT("'"&amp;E$2&amp;" SCR'!D50",1)</f>
        <v>-9439274.9002009481</v>
      </c>
      <c r="F39" s="47" cm="1">
        <f t="array" aca="1" ref="F39" ca="1">INDIRECT("'"&amp;F$2&amp;" SCR'!D50",1)</f>
        <v>-9914265.9455036223</v>
      </c>
      <c r="G39" s="47" cm="1">
        <f t="array" aca="1" ref="G39" ca="1">INDIRECT("'"&amp;G$2&amp;" SCR'!D50",1)</f>
        <v>-9166688.3541533463</v>
      </c>
      <c r="H39" s="47" cm="1">
        <f t="array" aca="1" ref="H39" ca="1">INDIRECT("'"&amp;H$2&amp;" SCR'!D50",1)</f>
        <v>-9042430.5150075462</v>
      </c>
      <c r="I39" s="47" cm="1">
        <f t="array" aca="1" ref="I39" ca="1">INDIRECT("'"&amp;I$2&amp;" SCR'!D50",1)</f>
        <v>-8673872.1951156221</v>
      </c>
      <c r="J39" s="47" cm="1">
        <f t="array" aca="1" ref="J39" ca="1">INDIRECT("'"&amp;J$2&amp;" SCR'!D50",1)</f>
        <v>-8056359.8604418123</v>
      </c>
      <c r="K39" s="47" cm="1">
        <f t="array" aca="1" ref="K39" ca="1">INDIRECT("'"&amp;K$2&amp;" SCR'!D50",1)</f>
        <v>-8249265.1289697392</v>
      </c>
      <c r="L39" s="47" cm="1">
        <f t="array" aca="1" ref="L39" ca="1">INDIRECT("'"&amp;L$2&amp;" SCR'!D50",1)</f>
        <v>-7379084.3364748415</v>
      </c>
    </row>
    <row r="40" spans="2:12" ht="15" thickBot="1" x14ac:dyDescent="0.35">
      <c r="B40" s="48" t="s">
        <v>60</v>
      </c>
      <c r="C40" s="45" cm="1">
        <f t="array" aca="1" ref="C40" ca="1">INDIRECT("'"&amp;C$2&amp;" SCR'!D51",1)</f>
        <v>33289049.711137831</v>
      </c>
      <c r="D40" s="45" cm="1">
        <f t="array" aca="1" ref="D40" ca="1">INDIRECT("'"&amp;D$2&amp;" SCR'!D51",1)</f>
        <v>33460582.990809061</v>
      </c>
      <c r="E40" s="45" cm="1">
        <f t="array" aca="1" ref="E40" ca="1">INDIRECT("'"&amp;E$2&amp;" SCR'!D51",1)</f>
        <v>36565955.216347098</v>
      </c>
      <c r="F40" s="45" cm="1">
        <f t="array" aca="1" ref="F40" ca="1">INDIRECT("'"&amp;F$2&amp;" SCR'!D51",1)</f>
        <v>33311617.492007822</v>
      </c>
      <c r="G40" s="45" cm="1">
        <f t="array" aca="1" ref="G40" ca="1">INDIRECT("'"&amp;G$2&amp;" SCR'!D51",1)</f>
        <v>31297804.371460047</v>
      </c>
      <c r="H40" s="45" cm="1">
        <f t="array" aca="1" ref="H40" ca="1">INDIRECT("'"&amp;H$2&amp;" SCR'!D51",1)</f>
        <v>31596029.229584537</v>
      </c>
      <c r="I40" s="45" cm="1">
        <f t="array" aca="1" ref="I40" ca="1">INDIRECT("'"&amp;I$2&amp;" SCR'!D51",1)</f>
        <v>30483091.559243079</v>
      </c>
      <c r="J40" s="45" cm="1">
        <f t="array" aca="1" ref="J40" ca="1">INDIRECT("'"&amp;J$2&amp;" SCR'!D51",1)</f>
        <v>25694624.054270431</v>
      </c>
      <c r="K40" s="45" cm="1">
        <f t="array" aca="1" ref="K40" ca="1">INDIRECT("'"&amp;K$2&amp;" SCR'!D51",1)</f>
        <v>26309868.214011993</v>
      </c>
      <c r="L40" s="45" cm="1">
        <f t="array" aca="1" ref="L40" ca="1">INDIRECT("'"&amp;L$2&amp;" SCR'!D51",1)</f>
        <v>23534549.247416407</v>
      </c>
    </row>
    <row r="41" spans="2:12" ht="15" thickBot="1" x14ac:dyDescent="0.35">
      <c r="B41" s="49" t="s">
        <v>31</v>
      </c>
      <c r="C41" s="50" cm="1">
        <f t="array" aca="1" ref="C41" ca="1">INDIRECT("'"&amp;C$2&amp;" SCR'!D53",1)</f>
        <v>63733287.844033599</v>
      </c>
      <c r="D41" s="50" cm="1">
        <f t="array" aca="1" ref="D41" ca="1">INDIRECT("'"&amp;D$2&amp;" SCR'!D53",1)</f>
        <v>56422951.375054061</v>
      </c>
      <c r="E41" s="50" cm="1">
        <f t="array" aca="1" ref="E41" ca="1">INDIRECT("'"&amp;E$2&amp;" SCR'!D53",1)</f>
        <v>56683978.235187888</v>
      </c>
      <c r="F41" s="50" cm="1">
        <f t="array" aca="1" ref="F41" ca="1">INDIRECT("'"&amp;F$2&amp;" SCR'!D53",1)</f>
        <v>59066266.009738207</v>
      </c>
      <c r="G41" s="50" cm="1">
        <f t="array" aca="1" ref="G41" ca="1">INDIRECT("'"&amp;G$2&amp;" SCR'!D53",1)</f>
        <v>56816339.238130927</v>
      </c>
      <c r="H41" s="50" cm="1">
        <f t="array" aca="1" ref="H41" ca="1">INDIRECT("'"&amp;H$2&amp;" SCR'!D53",1)</f>
        <v>56442369.847595096</v>
      </c>
      <c r="I41" s="50" cm="1">
        <f t="array" aca="1" ref="I41" ca="1">INDIRECT("'"&amp;I$2&amp;" SCR'!D53",1)</f>
        <v>56892154.871530831</v>
      </c>
      <c r="J41" s="50" cm="1">
        <f t="array" aca="1" ref="J41" ca="1">INDIRECT("'"&amp;J$2&amp;" SCR'!D53",1)</f>
        <v>61494211.290179551</v>
      </c>
      <c r="K41" s="50" cm="1">
        <f t="array" aca="1" ref="K41" ca="1">INDIRECT("'"&amp;K$2&amp;" SCR'!D53",1)</f>
        <v>57679916.90625751</v>
      </c>
      <c r="L41" s="50" cm="1">
        <f t="array" aca="1" ref="L41" ca="1">INDIRECT("'"&amp;L$2&amp;" SCR'!D53",1)</f>
        <v>55109756.563358605</v>
      </c>
    </row>
    <row r="42" spans="2:12" ht="15" thickBot="1" x14ac:dyDescent="0.35">
      <c r="B42" s="51" t="s">
        <v>37</v>
      </c>
      <c r="C42" s="52" cm="1">
        <f t="array" aca="1" ref="C42" ca="1">INDIRECT("'"&amp;C$2&amp;" SCR'!D55",1)</f>
        <v>1.9145421211200797</v>
      </c>
      <c r="D42" s="52" cm="1">
        <f t="array" aca="1" ref="D42" ca="1">INDIRECT("'"&amp;D$2&amp;" SCR'!D55",1)</f>
        <v>1.6862512942632319</v>
      </c>
      <c r="E42" s="52" cm="1">
        <f t="array" aca="1" ref="E42" ca="1">INDIRECT("'"&amp;E$2&amp;" SCR'!D55",1)</f>
        <v>1.5501845336682705</v>
      </c>
      <c r="F42" s="52" cm="1">
        <f t="array" aca="1" ref="F42" ca="1">INDIRECT("'"&amp;F$2&amp;" SCR'!D55",1)</f>
        <v>1.7731431391438581</v>
      </c>
      <c r="G42" s="52" cm="1">
        <f t="array" aca="1" ref="G42" ca="1">INDIRECT("'"&amp;G$2&amp;" SCR'!D55",1)</f>
        <v>1.8153458486672891</v>
      </c>
      <c r="H42" s="52" cm="1">
        <f t="array" aca="1" ref="H42" ca="1">INDIRECT("'"&amp;H$2&amp;" SCR'!D55",1)</f>
        <v>1.7863754156407099</v>
      </c>
      <c r="I42" s="52" cm="1">
        <f t="array" aca="1" ref="I42" ca="1">INDIRECT("'"&amp;I$2&amp;" SCR'!D55",1)</f>
        <v>1.8663512118172936</v>
      </c>
      <c r="J42" s="52" cm="1">
        <f t="array" aca="1" ref="J42" ca="1">INDIRECT("'"&amp;J$2&amp;" SCR'!D55",1)</f>
        <v>2.3932714936904964</v>
      </c>
      <c r="K42" s="52" cm="1">
        <f t="array" aca="1" ref="K42" ca="1">INDIRECT("'"&amp;K$2&amp;" SCR'!D55",1)</f>
        <v>2.1923301339661823</v>
      </c>
      <c r="L42" s="52" cm="1">
        <f t="array" aca="1" ref="L42" ca="1">INDIRECT("'"&amp;L$2&amp;" SCR'!D55",1)</f>
        <v>2.3416533702853255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5EBD2-1EBE-4FF1-9829-1581CF383EC8}">
  <dimension ref="A1:K23"/>
  <sheetViews>
    <sheetView workbookViewId="0">
      <selection activeCell="D19" sqref="D19"/>
    </sheetView>
  </sheetViews>
  <sheetFormatPr defaultRowHeight="14.4" x14ac:dyDescent="0.3"/>
  <cols>
    <col min="1" max="1" width="32.6640625" customWidth="1"/>
    <col min="5" max="5" width="12.21875" bestFit="1" customWidth="1"/>
    <col min="8" max="8" width="16.77734375" bestFit="1" customWidth="1"/>
  </cols>
  <sheetData>
    <row r="1" spans="1:11" x14ac:dyDescent="0.3">
      <c r="A1" s="4" t="s">
        <v>63</v>
      </c>
      <c r="E1" s="4" t="s">
        <v>64</v>
      </c>
      <c r="H1" s="4" t="s">
        <v>66</v>
      </c>
      <c r="K1" s="4" t="s">
        <v>72</v>
      </c>
    </row>
    <row r="3" spans="1:11" x14ac:dyDescent="0.3">
      <c r="A3" t="s">
        <v>58</v>
      </c>
      <c r="B3">
        <v>28.5</v>
      </c>
      <c r="H3" s="29">
        <v>0.23106523106546462</v>
      </c>
      <c r="I3" t="s">
        <v>67</v>
      </c>
    </row>
    <row r="4" spans="1:11" x14ac:dyDescent="0.3">
      <c r="A4" t="s">
        <v>59</v>
      </c>
      <c r="B4">
        <v>7</v>
      </c>
    </row>
    <row r="5" spans="1:11" x14ac:dyDescent="0.3">
      <c r="A5" t="s">
        <v>26</v>
      </c>
      <c r="B5">
        <v>-8.5</v>
      </c>
      <c r="H5" s="28">
        <v>0.28177857011590723</v>
      </c>
      <c r="I5" t="s">
        <v>68</v>
      </c>
    </row>
    <row r="6" spans="1:11" x14ac:dyDescent="0.3">
      <c r="A6" t="s">
        <v>60</v>
      </c>
      <c r="B6">
        <f>SUM(B3:B5)</f>
        <v>27</v>
      </c>
    </row>
    <row r="8" spans="1:11" x14ac:dyDescent="0.3">
      <c r="A8" t="s">
        <v>61</v>
      </c>
      <c r="B8">
        <v>62.77</v>
      </c>
    </row>
    <row r="10" spans="1:11" x14ac:dyDescent="0.3">
      <c r="A10" t="s">
        <v>62</v>
      </c>
      <c r="B10" s="27">
        <f>+B8/B6</f>
        <v>2.3248148148148151</v>
      </c>
      <c r="E10" s="27">
        <v>2.2867695972844171</v>
      </c>
    </row>
    <row r="11" spans="1:11" x14ac:dyDescent="0.3">
      <c r="A11" t="s">
        <v>65</v>
      </c>
      <c r="B11" s="29">
        <f>+B10-'Q2 2025 SCR'!$D$55</f>
        <v>-6.8456678875681298E-2</v>
      </c>
      <c r="E11" s="29">
        <f>+E10-'Q2 2025 SCR'!$D$55</f>
        <v>-0.10650189640607932</v>
      </c>
      <c r="H11" s="27">
        <f>-H3*(1+H5)</f>
        <v>-0.29617446147859294</v>
      </c>
      <c r="K11" s="29">
        <f>-(+'Q2 2025 SCR'!E55+SUM(B11:H11))</f>
        <v>-5.5787245112849271E-2</v>
      </c>
    </row>
    <row r="17" spans="1:3" x14ac:dyDescent="0.3">
      <c r="A17" s="4" t="s">
        <v>74</v>
      </c>
      <c r="B17" s="30">
        <f>+'Q2 2025 SCR'!C55</f>
        <v>1.8663512118172936</v>
      </c>
    </row>
    <row r="18" spans="1:3" x14ac:dyDescent="0.3">
      <c r="A18" t="s">
        <v>69</v>
      </c>
      <c r="B18" s="29">
        <f>-E11</f>
        <v>0.10650189640607932</v>
      </c>
    </row>
    <row r="19" spans="1:3" x14ac:dyDescent="0.3">
      <c r="A19" t="s">
        <v>76</v>
      </c>
      <c r="B19" s="29">
        <f>-H11</f>
        <v>0.29617446147859294</v>
      </c>
    </row>
    <row r="20" spans="1:3" x14ac:dyDescent="0.3">
      <c r="A20" t="s">
        <v>70</v>
      </c>
      <c r="B20" s="29">
        <f>-B11</f>
        <v>6.8456678875681298E-2</v>
      </c>
    </row>
    <row r="21" spans="1:3" x14ac:dyDescent="0.3">
      <c r="A21" t="s">
        <v>71</v>
      </c>
      <c r="B21" s="29">
        <f>-K11</f>
        <v>5.5787245112849271E-2</v>
      </c>
      <c r="C21" t="s">
        <v>75</v>
      </c>
    </row>
    <row r="22" spans="1:3" x14ac:dyDescent="0.3">
      <c r="A22" s="4" t="s">
        <v>73</v>
      </c>
      <c r="B22" s="30">
        <f>SUM(B17:B21)</f>
        <v>2.3932714936904964</v>
      </c>
    </row>
    <row r="23" spans="1:3" x14ac:dyDescent="0.3">
      <c r="A23" s="4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422e6b-120e-47c2-b9b6-03c63bf48ebf" xsi:nil="true"/>
    <lcf76f155ced4ddcb4097134ff3c332f xmlns="e6b2bbb1-61ae-496c-8f4f-c8ac67b5a03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D08594A7E6C24B8E75BE3AAEEF8245" ma:contentTypeVersion="17" ma:contentTypeDescription="Create a new document." ma:contentTypeScope="" ma:versionID="c3b4f2a678d8ac56947e366859e83333">
  <xsd:schema xmlns:xsd="http://www.w3.org/2001/XMLSchema" xmlns:xs="http://www.w3.org/2001/XMLSchema" xmlns:p="http://schemas.microsoft.com/office/2006/metadata/properties" xmlns:ns2="e6b2bbb1-61ae-496c-8f4f-c8ac67b5a032" xmlns:ns3="a4422e6b-120e-47c2-b9b6-03c63bf48ebf" targetNamespace="http://schemas.microsoft.com/office/2006/metadata/properties" ma:root="true" ma:fieldsID="f6f5f6b1417e0dbb58d40000f4032aa9" ns2:_="" ns3:_="">
    <xsd:import namespace="e6b2bbb1-61ae-496c-8f4f-c8ac67b5a032"/>
    <xsd:import namespace="a4422e6b-120e-47c2-b9b6-03c63bf48e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b2bbb1-61ae-496c-8f4f-c8ac67b5a0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6222303-5ace-465d-ae98-7430cbcc1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422e6b-120e-47c2-b9b6-03c63bf48eb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3b610e4-2bd2-4455-a56c-42275f13a58f}" ma:internalName="TaxCatchAll" ma:showField="CatchAllData" ma:web="a4422e6b-120e-47c2-b9b6-03c63bf48e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008394-0DF5-4041-B8E8-A0C079C25537}">
  <ds:schemaRefs>
    <ds:schemaRef ds:uri="http://schemas.microsoft.com/office/2006/metadata/properties"/>
    <ds:schemaRef ds:uri="http://schemas.microsoft.com/office/infopath/2007/PartnerControls"/>
    <ds:schemaRef ds:uri="a4422e6b-120e-47c2-b9b6-03c63bf48ebf"/>
    <ds:schemaRef ds:uri="e6b2bbb1-61ae-496c-8f4f-c8ac67b5a032"/>
  </ds:schemaRefs>
</ds:datastoreItem>
</file>

<file path=customXml/itemProps2.xml><?xml version="1.0" encoding="utf-8"?>
<ds:datastoreItem xmlns:ds="http://schemas.openxmlformats.org/officeDocument/2006/customXml" ds:itemID="{737EB61D-CE4B-49DC-9463-0473866F82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8D04DD-085C-481D-A49A-E39B7B87A6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b2bbb1-61ae-496c-8f4f-c8ac67b5a032"/>
    <ds:schemaRef ds:uri="a4422e6b-120e-47c2-b9b6-03c63bf48e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Annual 2023 SCR</vt:lpstr>
      <vt:lpstr>Q1 2024 SCR</vt:lpstr>
      <vt:lpstr>Q2 2024 SCR</vt:lpstr>
      <vt:lpstr>Q3 2024 SCR</vt:lpstr>
      <vt:lpstr>Q4 2024 SCR</vt:lpstr>
      <vt:lpstr>Annual 2024 SCR</vt:lpstr>
      <vt:lpstr>Q1 2025 SCR</vt:lpstr>
      <vt:lpstr>Q2 2025 SCR</vt:lpstr>
      <vt:lpstr>Q3 2025 SCR</vt:lpstr>
      <vt:lpstr>Q4 2025 SCR</vt:lpstr>
      <vt:lpstr>Table</vt:lpstr>
      <vt:lpstr>Delta changes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 Olivieri</dc:creator>
  <cp:lastModifiedBy>Erik Pillon</cp:lastModifiedBy>
  <dcterms:created xsi:type="dcterms:W3CDTF">2025-05-02T07:18:37Z</dcterms:created>
  <dcterms:modified xsi:type="dcterms:W3CDTF">2026-02-04T09:49:12Z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89c41b-0d73-428c-9d47-797e407a0e54_Enabled">
    <vt:lpwstr>true</vt:lpwstr>
  </property>
  <property fmtid="{D5CDD505-2E9C-101B-9397-08002B2CF9AE}" pid="3" name="MSIP_Label_5f89c41b-0d73-428c-9d47-797e407a0e54_SetDate">
    <vt:lpwstr>2025-05-02T07:19:34Z</vt:lpwstr>
  </property>
  <property fmtid="{D5CDD505-2E9C-101B-9397-08002B2CF9AE}" pid="4" name="MSIP_Label_5f89c41b-0d73-428c-9d47-797e407a0e54_Method">
    <vt:lpwstr>Standard</vt:lpwstr>
  </property>
  <property fmtid="{D5CDD505-2E9C-101B-9397-08002B2CF9AE}" pid="5" name="MSIP_Label_5f89c41b-0d73-428c-9d47-797e407a0e54_Name">
    <vt:lpwstr>General Files</vt:lpwstr>
  </property>
  <property fmtid="{D5CDD505-2E9C-101B-9397-08002B2CF9AE}" pid="6" name="MSIP_Label_5f89c41b-0d73-428c-9d47-797e407a0e54_SiteId">
    <vt:lpwstr>748419eb-b130-41c4-8448-db4bc848692c</vt:lpwstr>
  </property>
  <property fmtid="{D5CDD505-2E9C-101B-9397-08002B2CF9AE}" pid="7" name="MSIP_Label_5f89c41b-0d73-428c-9d47-797e407a0e54_ActionId">
    <vt:lpwstr>12072001-7669-45f1-943b-5cd455829b0f</vt:lpwstr>
  </property>
  <property fmtid="{D5CDD505-2E9C-101B-9397-08002B2CF9AE}" pid="8" name="MSIP_Label_5f89c41b-0d73-428c-9d47-797e407a0e54_ContentBits">
    <vt:lpwstr>0</vt:lpwstr>
  </property>
  <property fmtid="{D5CDD505-2E9C-101B-9397-08002B2CF9AE}" pid="9" name="MSIP_Label_5f89c41b-0d73-428c-9d47-797e407a0e54_Tag">
    <vt:lpwstr>10, 3, 0, 1</vt:lpwstr>
  </property>
  <property fmtid="{D5CDD505-2E9C-101B-9397-08002B2CF9AE}" pid="10" name="ContentTypeId">
    <vt:lpwstr>0x01010075D08594A7E6C24B8E75BE3AAEEF8245</vt:lpwstr>
  </property>
  <property fmtid="{D5CDD505-2E9C-101B-9397-08002B2CF9AE}" pid="11" name="MediaServiceImageTags">
    <vt:lpwstr/>
  </property>
</Properties>
</file>